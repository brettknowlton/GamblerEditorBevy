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Obsidian Vault\GamblerEditorBevy\planning\"/>
    </mc:Choice>
  </mc:AlternateContent>
  <xr:revisionPtr revIDLastSave="0" documentId="8_{5EB93116-8B0E-4B6F-84CF-2477AF661C84}" xr6:coauthVersionLast="47" xr6:coauthVersionMax="47" xr10:uidLastSave="{00000000-0000-0000-0000-000000000000}"/>
  <bookViews>
    <workbookView xWindow="43380" yWindow="675" windowWidth="28800" windowHeight="15345" xr2:uid="{C558A003-62E7-4298-B193-DB0EE08733BF}"/>
  </bookViews>
  <sheets>
    <sheet name="Financial Calculation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  <c r="C69" i="1"/>
  <c r="D69" i="1"/>
  <c r="E69" i="1" s="1"/>
  <c r="F69" i="1"/>
  <c r="G69" i="1" s="1"/>
  <c r="B70" i="1"/>
  <c r="C70" i="1"/>
  <c r="D70" i="1"/>
  <c r="E70" i="1" s="1"/>
  <c r="F70" i="1"/>
  <c r="G70" i="1" s="1"/>
  <c r="B71" i="1"/>
  <c r="C71" i="1" s="1"/>
  <c r="D71" i="1"/>
  <c r="E71" i="1" s="1"/>
  <c r="F71" i="1"/>
  <c r="G71" i="1" s="1"/>
  <c r="B72" i="1"/>
  <c r="C72" i="1"/>
  <c r="D72" i="1"/>
  <c r="E72" i="1"/>
  <c r="F72" i="1"/>
  <c r="F73" i="1" s="1"/>
  <c r="G72" i="1"/>
  <c r="B73" i="1"/>
  <c r="C73" i="1"/>
  <c r="D73" i="1"/>
  <c r="E73" i="1"/>
  <c r="B74" i="1"/>
  <c r="C74" i="1"/>
  <c r="D74" i="1"/>
  <c r="E74" i="1"/>
  <c r="C39" i="1"/>
  <c r="H69" i="1"/>
  <c r="I69" i="1"/>
  <c r="J69" i="1"/>
  <c r="L69" i="1" s="1"/>
  <c r="K69" i="1"/>
  <c r="M69" i="1"/>
  <c r="N69" i="1" s="1"/>
  <c r="H70" i="1"/>
  <c r="I70" i="1"/>
  <c r="J70" i="1" s="1"/>
  <c r="L70" i="1" s="1"/>
  <c r="H71" i="1"/>
  <c r="I71" i="1"/>
  <c r="J71" i="1" s="1"/>
  <c r="L71" i="1" s="1"/>
  <c r="H72" i="1"/>
  <c r="H73" i="1" s="1"/>
  <c r="H74" i="1" s="1"/>
  <c r="I72" i="1"/>
  <c r="I73" i="1" s="1"/>
  <c r="J72" i="1"/>
  <c r="L72" i="1" s="1"/>
  <c r="F68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40" i="1"/>
  <c r="G39" i="1"/>
  <c r="M63" i="1"/>
  <c r="M64" i="1" s="1"/>
  <c r="H1" i="1"/>
  <c r="A36" i="1" s="1"/>
  <c r="H37" i="1"/>
  <c r="D21" i="1"/>
  <c r="D20" i="1"/>
  <c r="D19" i="1"/>
  <c r="D18" i="1"/>
  <c r="D17" i="1"/>
  <c r="D16" i="1"/>
  <c r="D14" i="1"/>
  <c r="F1" i="1"/>
  <c r="F6" i="1" s="1"/>
  <c r="F7" i="1" s="1"/>
  <c r="D7" i="1"/>
  <c r="D8" i="1"/>
  <c r="D9" i="1"/>
  <c r="D10" i="1"/>
  <c r="D12" i="1"/>
  <c r="D15" i="1"/>
  <c r="D11" i="1"/>
  <c r="D13" i="1"/>
  <c r="B23" i="1"/>
  <c r="F2" i="1" s="1"/>
  <c r="C23" i="1"/>
  <c r="G73" i="1" l="1"/>
  <c r="F74" i="1"/>
  <c r="G74" i="1" s="1"/>
  <c r="M70" i="1"/>
  <c r="J73" i="1"/>
  <c r="L73" i="1" s="1"/>
  <c r="I74" i="1"/>
  <c r="J74" i="1" s="1"/>
  <c r="L74" i="1" s="1"/>
  <c r="K70" i="1"/>
  <c r="K71" i="1" s="1"/>
  <c r="K72" i="1" s="1"/>
  <c r="K73" i="1" s="1"/>
  <c r="K74" i="1" s="1"/>
  <c r="M65" i="1"/>
  <c r="N64" i="1"/>
  <c r="N63" i="1"/>
  <c r="F3" i="1"/>
  <c r="D23" i="1"/>
  <c r="G6" i="1"/>
  <c r="H6" i="1" s="1"/>
  <c r="G23" i="1"/>
  <c r="H2" i="1"/>
  <c r="B36" i="1"/>
  <c r="C36" i="1" s="1"/>
  <c r="M39" i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N53" i="1" s="1"/>
  <c r="F8" i="1"/>
  <c r="F23" i="1"/>
  <c r="N70" i="1" l="1"/>
  <c r="M71" i="1"/>
  <c r="D66" i="1"/>
  <c r="E66" i="1" s="1"/>
  <c r="D63" i="1"/>
  <c r="E63" i="1" s="1"/>
  <c r="D67" i="1"/>
  <c r="E67" i="1" s="1"/>
  <c r="D68" i="1"/>
  <c r="E68" i="1" s="1"/>
  <c r="D64" i="1"/>
  <c r="E64" i="1" s="1"/>
  <c r="B63" i="1"/>
  <c r="C63" i="1" s="1"/>
  <c r="B67" i="1"/>
  <c r="C67" i="1" s="1"/>
  <c r="B68" i="1"/>
  <c r="C68" i="1" s="1"/>
  <c r="B64" i="1"/>
  <c r="C64" i="1" s="1"/>
  <c r="D65" i="1"/>
  <c r="E65" i="1" s="1"/>
  <c r="B65" i="1"/>
  <c r="C65" i="1" s="1"/>
  <c r="B66" i="1"/>
  <c r="C66" i="1" s="1"/>
  <c r="M66" i="1"/>
  <c r="N65" i="1"/>
  <c r="M54" i="1"/>
  <c r="N54" i="1" s="1"/>
  <c r="N52" i="1"/>
  <c r="H23" i="1"/>
  <c r="I23" i="1" s="1"/>
  <c r="B52" i="1"/>
  <c r="C52" i="1" s="1"/>
  <c r="B56" i="1"/>
  <c r="C56" i="1" s="1"/>
  <c r="D52" i="1"/>
  <c r="E52" i="1" s="1"/>
  <c r="D62" i="1"/>
  <c r="E62" i="1" s="1"/>
  <c r="D56" i="1"/>
  <c r="E56" i="1" s="1"/>
  <c r="B57" i="1"/>
  <c r="C57" i="1" s="1"/>
  <c r="D57" i="1"/>
  <c r="E57" i="1" s="1"/>
  <c r="B53" i="1"/>
  <c r="C53" i="1" s="1"/>
  <c r="B58" i="1"/>
  <c r="C58" i="1" s="1"/>
  <c r="D53" i="1"/>
  <c r="E53" i="1" s="1"/>
  <c r="D58" i="1"/>
  <c r="E58" i="1" s="1"/>
  <c r="B60" i="1"/>
  <c r="C60" i="1" s="1"/>
  <c r="D54" i="1"/>
  <c r="E54" i="1" s="1"/>
  <c r="B61" i="1"/>
  <c r="C61" i="1" s="1"/>
  <c r="D61" i="1"/>
  <c r="E61" i="1" s="1"/>
  <c r="B59" i="1"/>
  <c r="C59" i="1" s="1"/>
  <c r="B54" i="1"/>
  <c r="C54" i="1" s="1"/>
  <c r="D60" i="1"/>
  <c r="E60" i="1" s="1"/>
  <c r="B55" i="1"/>
  <c r="C55" i="1" s="1"/>
  <c r="D55" i="1"/>
  <c r="E55" i="1" s="1"/>
  <c r="B62" i="1"/>
  <c r="C62" i="1" s="1"/>
  <c r="D59" i="1"/>
  <c r="E59" i="1" s="1"/>
  <c r="I39" i="1"/>
  <c r="I40" i="1" s="1"/>
  <c r="D51" i="1"/>
  <c r="E51" i="1" s="1"/>
  <c r="B40" i="1"/>
  <c r="C40" i="1" s="1"/>
  <c r="B45" i="1"/>
  <c r="C45" i="1" s="1"/>
  <c r="B48" i="1"/>
  <c r="C48" i="1" s="1"/>
  <c r="B49" i="1"/>
  <c r="C49" i="1" s="1"/>
  <c r="B50" i="1"/>
  <c r="C50" i="1" s="1"/>
  <c r="B51" i="1"/>
  <c r="C51" i="1" s="1"/>
  <c r="D43" i="1"/>
  <c r="E43" i="1" s="1"/>
  <c r="D45" i="1"/>
  <c r="E45" i="1" s="1"/>
  <c r="D48" i="1"/>
  <c r="E48" i="1" s="1"/>
  <c r="D39" i="1"/>
  <c r="E39" i="1" s="1"/>
  <c r="B41" i="1"/>
  <c r="C41" i="1" s="1"/>
  <c r="B42" i="1"/>
  <c r="C42" i="1" s="1"/>
  <c r="B43" i="1"/>
  <c r="C43" i="1" s="1"/>
  <c r="D40" i="1"/>
  <c r="E40" i="1" s="1"/>
  <c r="D42" i="1"/>
  <c r="E42" i="1" s="1"/>
  <c r="D47" i="1"/>
  <c r="E47" i="1" s="1"/>
  <c r="D49" i="1"/>
  <c r="E49" i="1" s="1"/>
  <c r="H39" i="1"/>
  <c r="B44" i="1"/>
  <c r="C44" i="1" s="1"/>
  <c r="B46" i="1"/>
  <c r="C46" i="1" s="1"/>
  <c r="B47" i="1"/>
  <c r="C47" i="1" s="1"/>
  <c r="D41" i="1"/>
  <c r="E41" i="1" s="1"/>
  <c r="B39" i="1"/>
  <c r="D44" i="1"/>
  <c r="E44" i="1" s="1"/>
  <c r="D46" i="1"/>
  <c r="E46" i="1" s="1"/>
  <c r="D50" i="1"/>
  <c r="E50" i="1" s="1"/>
  <c r="N39" i="1"/>
  <c r="F10" i="1"/>
  <c r="F11" i="1" s="1"/>
  <c r="F12" i="1" s="1"/>
  <c r="F9" i="1"/>
  <c r="G7" i="1"/>
  <c r="H7" i="1" s="1"/>
  <c r="M72" i="1" l="1"/>
  <c r="N71" i="1"/>
  <c r="J39" i="1"/>
  <c r="L39" i="1" s="1"/>
  <c r="N66" i="1"/>
  <c r="M67" i="1"/>
  <c r="F39" i="1"/>
  <c r="K39" i="1"/>
  <c r="M55" i="1"/>
  <c r="N55" i="1" s="1"/>
  <c r="M56" i="1"/>
  <c r="H40" i="1"/>
  <c r="F40" i="1" s="1"/>
  <c r="I41" i="1"/>
  <c r="J40" i="1"/>
  <c r="L40" i="1" s="1"/>
  <c r="N40" i="1"/>
  <c r="F13" i="1"/>
  <c r="F14" i="1" s="1"/>
  <c r="F15" i="1" s="1"/>
  <c r="F16" i="1" s="1"/>
  <c r="F17" i="1" s="1"/>
  <c r="F18" i="1" s="1"/>
  <c r="F19" i="1" s="1"/>
  <c r="F20" i="1" s="1"/>
  <c r="F21" i="1" s="1"/>
  <c r="G8" i="1"/>
  <c r="M73" i="1" l="1"/>
  <c r="N72" i="1"/>
  <c r="M68" i="1"/>
  <c r="N67" i="1"/>
  <c r="G9" i="1"/>
  <c r="H9" i="1" s="1"/>
  <c r="H8" i="1"/>
  <c r="M57" i="1"/>
  <c r="N56" i="1"/>
  <c r="K40" i="1"/>
  <c r="H41" i="1"/>
  <c r="F41" i="1" s="1"/>
  <c r="I42" i="1"/>
  <c r="J41" i="1"/>
  <c r="L41" i="1" s="1"/>
  <c r="N41" i="1"/>
  <c r="G10" i="1"/>
  <c r="H10" i="1" s="1"/>
  <c r="N73" i="1" l="1"/>
  <c r="M74" i="1"/>
  <c r="N74" i="1" s="1"/>
  <c r="N68" i="1"/>
  <c r="K41" i="1"/>
  <c r="N57" i="1"/>
  <c r="M58" i="1"/>
  <c r="H42" i="1"/>
  <c r="F42" i="1" s="1"/>
  <c r="I43" i="1"/>
  <c r="J42" i="1"/>
  <c r="L42" i="1" s="1"/>
  <c r="N42" i="1"/>
  <c r="G11" i="1"/>
  <c r="H11" i="1" s="1"/>
  <c r="M59" i="1" l="1"/>
  <c r="N58" i="1"/>
  <c r="H43" i="1"/>
  <c r="F43" i="1" s="1"/>
  <c r="K42" i="1"/>
  <c r="K43" i="1" s="1"/>
  <c r="I44" i="1"/>
  <c r="J43" i="1"/>
  <c r="L43" i="1" s="1"/>
  <c r="N43" i="1"/>
  <c r="G12" i="1"/>
  <c r="H12" i="1" s="1"/>
  <c r="M60" i="1" l="1"/>
  <c r="N59" i="1"/>
  <c r="H44" i="1"/>
  <c r="F44" i="1" s="1"/>
  <c r="I45" i="1"/>
  <c r="J44" i="1"/>
  <c r="L44" i="1" s="1"/>
  <c r="N44" i="1"/>
  <c r="G13" i="1"/>
  <c r="H13" i="1" l="1"/>
  <c r="G14" i="1"/>
  <c r="M61" i="1"/>
  <c r="N60" i="1"/>
  <c r="H45" i="1"/>
  <c r="F45" i="1" s="1"/>
  <c r="K44" i="1"/>
  <c r="I46" i="1"/>
  <c r="J45" i="1"/>
  <c r="L45" i="1" s="1"/>
  <c r="N45" i="1"/>
  <c r="K45" i="1" l="1"/>
  <c r="G15" i="1"/>
  <c r="H14" i="1"/>
  <c r="N61" i="1"/>
  <c r="M62" i="1"/>
  <c r="N62" i="1" s="1"/>
  <c r="H46" i="1"/>
  <c r="F46" i="1" s="1"/>
  <c r="J46" i="1"/>
  <c r="L46" i="1" s="1"/>
  <c r="I47" i="1"/>
  <c r="N46" i="1"/>
  <c r="G16" i="1" l="1"/>
  <c r="H15" i="1"/>
  <c r="H47" i="1"/>
  <c r="F47" i="1" s="1"/>
  <c r="K46" i="1"/>
  <c r="J47" i="1"/>
  <c r="L47" i="1" s="1"/>
  <c r="I48" i="1"/>
  <c r="K47" i="1"/>
  <c r="N47" i="1"/>
  <c r="G17" i="1" l="1"/>
  <c r="H16" i="1"/>
  <c r="H48" i="1"/>
  <c r="F48" i="1" s="1"/>
  <c r="J48" i="1"/>
  <c r="L48" i="1" s="1"/>
  <c r="I49" i="1"/>
  <c r="N48" i="1"/>
  <c r="G18" i="1" l="1"/>
  <c r="H17" i="1"/>
  <c r="H49" i="1"/>
  <c r="F49" i="1" s="1"/>
  <c r="K48" i="1"/>
  <c r="J49" i="1"/>
  <c r="L49" i="1" s="1"/>
  <c r="I50" i="1"/>
  <c r="N49" i="1"/>
  <c r="G19" i="1" l="1"/>
  <c r="H18" i="1"/>
  <c r="K49" i="1"/>
  <c r="H50" i="1"/>
  <c r="F50" i="1" s="1"/>
  <c r="J50" i="1"/>
  <c r="L50" i="1" s="1"/>
  <c r="I51" i="1"/>
  <c r="I52" i="1" s="1"/>
  <c r="N50" i="1"/>
  <c r="N51" i="1"/>
  <c r="G20" i="1" l="1"/>
  <c r="H19" i="1"/>
  <c r="I53" i="1"/>
  <c r="J52" i="1"/>
  <c r="L52" i="1" s="1"/>
  <c r="H51" i="1"/>
  <c r="F51" i="1" s="1"/>
  <c r="K50" i="1"/>
  <c r="J51" i="1"/>
  <c r="L51" i="1" s="1"/>
  <c r="K51" i="1" l="1"/>
  <c r="G21" i="1"/>
  <c r="H21" i="1" s="1"/>
  <c r="H20" i="1"/>
  <c r="H52" i="1"/>
  <c r="F52" i="1" s="1"/>
  <c r="I54" i="1"/>
  <c r="J53" i="1"/>
  <c r="L53" i="1" s="1"/>
  <c r="H53" i="1" l="1"/>
  <c r="F53" i="1" s="1"/>
  <c r="J54" i="1"/>
  <c r="L54" i="1" s="1"/>
  <c r="I55" i="1"/>
  <c r="K52" i="1"/>
  <c r="K53" i="1" l="1"/>
  <c r="I56" i="1"/>
  <c r="J55" i="1"/>
  <c r="L55" i="1" s="1"/>
  <c r="H54" i="1"/>
  <c r="F54" i="1" s="1"/>
  <c r="H55" i="1" l="1"/>
  <c r="F55" i="1" s="1"/>
  <c r="I57" i="1"/>
  <c r="J56" i="1"/>
  <c r="L56" i="1" s="1"/>
  <c r="K54" i="1"/>
  <c r="K55" i="1" s="1"/>
  <c r="I58" i="1" l="1"/>
  <c r="J57" i="1"/>
  <c r="L57" i="1" s="1"/>
  <c r="H56" i="1"/>
  <c r="F56" i="1" s="1"/>
  <c r="H57" i="1" l="1"/>
  <c r="F57" i="1" s="1"/>
  <c r="I59" i="1"/>
  <c r="J58" i="1"/>
  <c r="L58" i="1" s="1"/>
  <c r="K56" i="1"/>
  <c r="K57" i="1" l="1"/>
  <c r="J59" i="1"/>
  <c r="L59" i="1" s="1"/>
  <c r="I60" i="1"/>
  <c r="H58" i="1"/>
  <c r="F58" i="1" s="1"/>
  <c r="H59" i="1" l="1"/>
  <c r="F59" i="1" s="1"/>
  <c r="I61" i="1"/>
  <c r="J60" i="1"/>
  <c r="L60" i="1" s="1"/>
  <c r="K58" i="1"/>
  <c r="K59" i="1" s="1"/>
  <c r="I62" i="1" l="1"/>
  <c r="J61" i="1"/>
  <c r="L61" i="1" s="1"/>
  <c r="H60" i="1"/>
  <c r="F60" i="1" s="1"/>
  <c r="J62" i="1" l="1"/>
  <c r="L62" i="1" s="1"/>
  <c r="I63" i="1"/>
  <c r="H61" i="1"/>
  <c r="F61" i="1" s="1"/>
  <c r="K60" i="1"/>
  <c r="J63" i="1" l="1"/>
  <c r="L63" i="1" s="1"/>
  <c r="I64" i="1"/>
  <c r="K61" i="1"/>
  <c r="H62" i="1"/>
  <c r="F62" i="1" l="1"/>
  <c r="H63" i="1"/>
  <c r="I65" i="1"/>
  <c r="J64" i="1"/>
  <c r="L64" i="1" s="1"/>
  <c r="K62" i="1"/>
  <c r="K63" i="1" s="1"/>
  <c r="J65" i="1" l="1"/>
  <c r="L65" i="1" s="1"/>
  <c r="I66" i="1"/>
  <c r="F63" i="1"/>
  <c r="H64" i="1"/>
  <c r="H65" i="1" l="1"/>
  <c r="F64" i="1"/>
  <c r="I67" i="1"/>
  <c r="J66" i="1"/>
  <c r="L66" i="1" s="1"/>
  <c r="K64" i="1"/>
  <c r="K65" i="1" s="1"/>
  <c r="I68" i="1" l="1"/>
  <c r="J67" i="1"/>
  <c r="L67" i="1" s="1"/>
  <c r="H66" i="1"/>
  <c r="F65" i="1"/>
  <c r="J68" i="1" l="1"/>
  <c r="L68" i="1" s="1"/>
  <c r="H67" i="1"/>
  <c r="F66" i="1"/>
  <c r="K66" i="1"/>
  <c r="K67" i="1" s="1"/>
  <c r="H68" i="1" l="1"/>
  <c r="F67" i="1"/>
  <c r="K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tc={D29FFF90-761F-4F58-AFC4-40D9EA3E7595}</author>
    <author>tc={84E7E592-83B0-4088-9C8C-17013D79A833}</author>
    <author>tc={1C7F71CE-BFE2-440B-90FA-43F04AB49BBE}</author>
    <author>tc={8E52BA81-917D-45B1-A5F9-41A6A2015045}</author>
    <author>tc={0B8E5712-585F-4910-B159-3B398986EC0C}</author>
    <author>tc={38195EAE-23FB-4D20-A0EC-BC425F8A0138}</author>
    <author>tc={714F0FFE-0A16-4E8E-855E-DD8A404C609A}</author>
    <author>tc={2367154D-9825-44EC-BB84-9F68B9FC8059}</author>
    <author>tc={FE7EFF41-81D2-4943-A9B3-B551EB6FAFFC}</author>
    <author>tc={8AC4D484-F5D6-4B7A-8E69-0F2838511E49}</author>
    <author>tc={E5AA788C-30AC-4631-A92D-78B8D1D03925}</author>
  </authors>
  <commentList>
    <comment ref="C2" authorId="0" shapeId="0" xr:uid="{D29FFF90-761F-4F58-AFC4-40D9EA3E7595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this in, What is a rough estimate of the income you will be reciving? Make this a low-end guess so that your budget comes out “better” than you plan</t>
      </text>
    </comment>
    <comment ref="D2" authorId="1" shapeId="0" xr:uid="{84E7E592-83B0-4088-9C8C-17013D79A833}">
      <text>
        <t>[Threaded comment]
Your version of Excel allows you to read this threaded comment; however, any edits to it will get removed if the file is opened in a newer version of Excel. Learn more: https://go.microsoft.com/fwlink/?linkid=870924
Comment:
    Put your actual paycheck number here, investment calculator bases off this number and Real Expense total</t>
      </text>
    </comment>
    <comment ref="B38" authorId="2" shapeId="0" xr:uid="{1C7F71CE-BFE2-440B-90FA-43F04AB49BB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scenario is when you just put all your surplus in a box. No Debt, No questions asked</t>
      </text>
    </comment>
    <comment ref="C38" authorId="3" shapeId="0" xr:uid="{8E52BA81-917D-45B1-A5F9-41A6A201504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scenario is when you have no debt, and just want to put all your surplus into investments - choose Market rate up top</t>
      </text>
    </comment>
    <comment ref="D38" authorId="4" shapeId="0" xr:uid="{0B8E5712-585F-4910-B159-3B398986EC0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scenario is when you pay debt off based on your chosen Debt Pay Rate and save the rest</t>
      </text>
    </comment>
    <comment ref="F38" authorId="5" shapeId="0" xr:uid="{38195EAE-23FB-4D20-A0EC-BC425F8A013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scenario is when you pay debt off based on your chosen Debt Pay Rate and save the rest, after debt has been paid to 0 the updated rate is reflected.</t>
      </text>
    </comment>
    <comment ref="I38" authorId="6" shapeId="0" xr:uid="{714F0FFE-0A16-4E8E-855E-DD8A404C609A}">
      <text>
        <t>[Threaded comment]
Your version of Excel allows you to read this threaded comment; however, any edits to it will get removed if the file is opened in a newer version of Excel. Learn more: https://go.microsoft.com/fwlink/?linkid=870924
Comment:
    If you were to pay and prevent any interest from building</t>
      </text>
    </comment>
    <comment ref="J38" authorId="7" shapeId="0" xr:uid="{2367154D-9825-44EC-BB84-9F68B9FC8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Paying a full amount and then applying interest
Reply:
    Pretty much like Realistic but if you were to pay a lump sum all at once- then apply interest instead of monthly</t>
      </text>
    </comment>
    <comment ref="L38" authorId="8" shapeId="0" xr:uid="{FE7EFF41-81D2-4943-A9B3-B551EB6FAFF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amount of interest you created in the Fullpay + Oof Scenario</t>
      </text>
    </comment>
    <comment ref="M38" authorId="9" shapeId="0" xr:uid="{8AC4D484-F5D6-4B7A-8E69-0F2838511E4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paying anything
Reply:
    Seriously bullshit if you try not paying ANYTHING</t>
      </text>
    </comment>
    <comment ref="N38" authorId="10" shapeId="0" xr:uid="{E5AA788C-30AC-4631-A92D-78B8D1D0392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amount of interest you created in the NoPay scenario</t>
      </text>
    </comment>
  </commentList>
</comments>
</file>

<file path=xl/sharedStrings.xml><?xml version="1.0" encoding="utf-8"?>
<sst xmlns="http://schemas.openxmlformats.org/spreadsheetml/2006/main" count="77" uniqueCount="64">
  <si>
    <t>Expense Name:</t>
  </si>
  <si>
    <t>Expected Balance</t>
  </si>
  <si>
    <t>Real Balance</t>
  </si>
  <si>
    <t>Expected</t>
  </si>
  <si>
    <t>Real</t>
  </si>
  <si>
    <t>End Balances:</t>
  </si>
  <si>
    <t>(Expect) Total Expense</t>
  </si>
  <si>
    <t>Debt</t>
  </si>
  <si>
    <t>Emergency Fund (1 Month</t>
  </si>
  <si>
    <t>Expenses</t>
  </si>
  <si>
    <t>Investing</t>
  </si>
  <si>
    <t>Fun</t>
  </si>
  <si>
    <t>Emergency Fund (1 Month)</t>
  </si>
  <si>
    <t>3 Months of expenses eventually</t>
  </si>
  <si>
    <t>1 Month worth of expenses AT LEAST</t>
  </si>
  <si>
    <t>Income</t>
  </si>
  <si>
    <t>Lil Oof Amount</t>
  </si>
  <si>
    <t>Debt Pay Rate</t>
  </si>
  <si>
    <t>Real Oof Total</t>
  </si>
  <si>
    <t>1 Year as final goal</t>
  </si>
  <si>
    <t>Start moving money into emergency fund</t>
  </si>
  <si>
    <t>(Real) Total Expenses</t>
  </si>
  <si>
    <t>Real Expenses</t>
  </si>
  <si>
    <t>Big Oof Total</t>
  </si>
  <si>
    <t>FullPay + Oof</t>
  </si>
  <si>
    <t>NoPay Balance:</t>
  </si>
  <si>
    <t>FullPay Balance:</t>
  </si>
  <si>
    <t>Realistic Balance</t>
  </si>
  <si>
    <t>Est</t>
  </si>
  <si>
    <t>Check Amt</t>
  </si>
  <si>
    <t>Error</t>
  </si>
  <si>
    <t>Raw Savings</t>
  </si>
  <si>
    <t>Rated Savings</t>
  </si>
  <si>
    <t xml:space="preserve">Rated Invest </t>
  </si>
  <si>
    <r>
      <t xml:space="preserve">Set the amount of debt you need to pay along with how much of your surplus you are willing to put towards it. Also add the worst-case interest rate so you can see how bad it </t>
    </r>
    <r>
      <rPr>
        <i/>
        <sz val="11"/>
        <color theme="1"/>
        <rFont val="Aptos Narrow"/>
        <family val="2"/>
        <scheme val="minor"/>
      </rPr>
      <t>COULD</t>
    </r>
    <r>
      <rPr>
        <sz val="11"/>
        <color theme="1"/>
        <rFont val="Aptos Narrow"/>
        <family val="2"/>
        <scheme val="minor"/>
      </rPr>
      <t xml:space="preserve"> get</t>
    </r>
  </si>
  <si>
    <t>Surplus</t>
  </si>
  <si>
    <t>INVESTMENT COVERS IT ALL EVENTUALLY</t>
  </si>
  <si>
    <t>Expenses and fun for free!</t>
  </si>
  <si>
    <t>Raw Invest</t>
  </si>
  <si>
    <t>Dynamic Savings</t>
  </si>
  <si>
    <t>Dynamic invest</t>
  </si>
  <si>
    <t>INVESTING THE SURPLUS OVER MONTHS</t>
  </si>
  <si>
    <t>Market Avg:</t>
  </si>
  <si>
    <t>...with debt pay off</t>
  </si>
  <si>
    <t>Error-so-far</t>
  </si>
  <si>
    <t>Estimated Expenses</t>
  </si>
  <si>
    <t>Estimated Surplus/Defecit</t>
  </si>
  <si>
    <t>Uses your realest estimations for this, use estimations as real values up top if needed</t>
  </si>
  <si>
    <t>Expected Costs</t>
  </si>
  <si>
    <t>Estimated Monthly Income:</t>
  </si>
  <si>
    <t>Real Monthly Income</t>
  </si>
  <si>
    <t>---ONE  UNIT SPECULATIVE---</t>
  </si>
  <si>
    <t>Realized APY</t>
  </si>
  <si>
    <t>Checks per Timeframe</t>
  </si>
  <si>
    <t>Real Costs</t>
  </si>
  <si>
    <t>car</t>
  </si>
  <si>
    <t>insurance</t>
  </si>
  <si>
    <t>phone</t>
  </si>
  <si>
    <t>gas</t>
  </si>
  <si>
    <t>subscriptions</t>
  </si>
  <si>
    <t>maintainence fund</t>
  </si>
  <si>
    <t>meals</t>
  </si>
  <si>
    <t>Error Sevierity</t>
  </si>
  <si>
    <t>Debt worst APY: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</si>
</sst>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sz val="11"/>
      <color theme="2" tint="-0.24997711111789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9" fontId="1" fillId="0" borderId="0" applyFont="0" applyFill="0" applyBorder="0" applyAlignment="0" applyProtection="0"/>
    <xf numFmtId="0" fontId="3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8" borderId="0" applyNumberFormat="0" applyBorder="0" applyAlignment="0" applyProtection="0"/>
  </cellStyleXfs>
  <cellXfs count="74">
    <xf numFmtId="0" fontId="0" fillId="0" borderId="0" xfId="0"/>
    <xf numFmtId="44" fontId="0" fillId="0" borderId="0" xfId="1" applyFont="1"/>
    <xf numFmtId="44" fontId="1" fillId="2" borderId="0" xfId="2" applyNumberFormat="1"/>
    <xf numFmtId="44" fontId="0" fillId="0" borderId="0" xfId="0" applyNumberFormat="1"/>
    <xf numFmtId="0" fontId="2" fillId="3" borderId="0" xfId="0" applyFont="1" applyFill="1"/>
    <xf numFmtId="0" fontId="0" fillId="4" borderId="0" xfId="0" applyFill="1"/>
    <xf numFmtId="44" fontId="2" fillId="3" borderId="0" xfId="0" applyNumberFormat="1" applyFont="1" applyFill="1"/>
    <xf numFmtId="44" fontId="0" fillId="5" borderId="0" xfId="0" applyNumberFormat="1" applyFill="1"/>
    <xf numFmtId="0" fontId="2" fillId="3" borderId="1" xfId="0" applyFont="1" applyFill="1" applyBorder="1"/>
    <xf numFmtId="0" fontId="0" fillId="4" borderId="1" xfId="0" applyFill="1" applyBorder="1"/>
    <xf numFmtId="0" fontId="0" fillId="5" borderId="0" xfId="0" applyFill="1" applyBorder="1"/>
    <xf numFmtId="44" fontId="0" fillId="3" borderId="0" xfId="1" applyFont="1" applyFill="1"/>
    <xf numFmtId="9" fontId="0" fillId="0" borderId="0" xfId="3" applyFont="1"/>
    <xf numFmtId="0" fontId="0" fillId="0" borderId="0" xfId="1" applyNumberFormat="1" applyFont="1"/>
    <xf numFmtId="0" fontId="0" fillId="4" borderId="0" xfId="0" applyFont="1" applyFill="1"/>
    <xf numFmtId="44" fontId="1" fillId="8" borderId="0" xfId="6" applyNumberFormat="1"/>
    <xf numFmtId="0" fontId="6" fillId="4" borderId="0" xfId="0" applyFont="1" applyFill="1"/>
    <xf numFmtId="0" fontId="0" fillId="3" borderId="1" xfId="0" quotePrefix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4" fontId="0" fillId="0" borderId="0" xfId="1" applyNumberFormat="1" applyFont="1"/>
    <xf numFmtId="9" fontId="1" fillId="8" borderId="0" xfId="6" applyNumberFormat="1"/>
    <xf numFmtId="2" fontId="1" fillId="8" borderId="0" xfId="6" applyNumberFormat="1"/>
    <xf numFmtId="44" fontId="0" fillId="4" borderId="0" xfId="1" applyFont="1" applyFill="1" applyAlignment="1">
      <alignment wrapText="1"/>
    </xf>
    <xf numFmtId="10" fontId="1" fillId="8" borderId="0" xfId="6" applyNumberFormat="1"/>
    <xf numFmtId="44" fontId="0" fillId="3" borderId="0" xfId="0" applyNumberFormat="1" applyFill="1"/>
    <xf numFmtId="0" fontId="0" fillId="4" borderId="0" xfId="1" applyNumberFormat="1" applyFont="1" applyFill="1" applyAlignment="1">
      <alignment horizontal="center" wrapText="1"/>
    </xf>
    <xf numFmtId="44" fontId="4" fillId="7" borderId="0" xfId="5" applyNumberFormat="1"/>
    <xf numFmtId="0" fontId="4" fillId="7" borderId="0" xfId="5"/>
    <xf numFmtId="44" fontId="2" fillId="3" borderId="0" xfId="1" applyFont="1" applyFill="1"/>
    <xf numFmtId="44" fontId="0" fillId="13" borderId="0" xfId="0" applyNumberFormat="1" applyFill="1"/>
    <xf numFmtId="2" fontId="0" fillId="13" borderId="0" xfId="0" applyNumberFormat="1" applyFill="1"/>
    <xf numFmtId="44" fontId="2" fillId="4" borderId="0" xfId="1" applyFont="1" applyFill="1"/>
    <xf numFmtId="44" fontId="3" fillId="6" borderId="0" xfId="4" applyNumberFormat="1" applyBorder="1" applyAlignment="1">
      <alignment horizontal="center"/>
    </xf>
    <xf numFmtId="44" fontId="0" fillId="0" borderId="0" xfId="1" applyFont="1" applyBorder="1"/>
    <xf numFmtId="0" fontId="0" fillId="0" borderId="0" xfId="0" applyBorder="1"/>
    <xf numFmtId="0" fontId="0" fillId="5" borderId="0" xfId="0" applyFill="1" applyBorder="1" applyAlignment="1">
      <alignment horizontal="center"/>
    </xf>
    <xf numFmtId="0" fontId="0" fillId="9" borderId="0" xfId="0" applyFill="1" applyBorder="1"/>
    <xf numFmtId="0" fontId="0" fillId="9" borderId="0" xfId="0" applyFill="1" applyBorder="1" applyAlignment="1">
      <alignment horizontal="center"/>
    </xf>
    <xf numFmtId="0" fontId="0" fillId="9" borderId="0" xfId="0" applyFill="1" applyBorder="1" applyAlignment="1"/>
    <xf numFmtId="0" fontId="0" fillId="10" borderId="0" xfId="0" applyFill="1" applyBorder="1" applyAlignment="1"/>
    <xf numFmtId="0" fontId="0" fillId="5" borderId="0" xfId="0" applyFill="1" applyBorder="1" applyAlignment="1"/>
    <xf numFmtId="0" fontId="0" fillId="10" borderId="0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5" borderId="9" xfId="0" applyFill="1" applyBorder="1"/>
    <xf numFmtId="0" fontId="2" fillId="11" borderId="10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44" fontId="3" fillId="6" borderId="4" xfId="4" applyNumberFormat="1" applyBorder="1" applyAlignment="1">
      <alignment horizontal="center"/>
    </xf>
    <xf numFmtId="44" fontId="3" fillId="6" borderId="13" xfId="4" applyNumberFormat="1" applyBorder="1" applyAlignment="1">
      <alignment horizontal="center"/>
    </xf>
    <xf numFmtId="44" fontId="3" fillId="6" borderId="5" xfId="4" applyNumberFormat="1" applyBorder="1"/>
    <xf numFmtId="44" fontId="3" fillId="6" borderId="3" xfId="4" applyNumberFormat="1" applyBorder="1" applyAlignment="1">
      <alignment horizontal="center"/>
    </xf>
    <xf numFmtId="6" fontId="3" fillId="6" borderId="14" xfId="4" applyNumberFormat="1" applyBorder="1"/>
    <xf numFmtId="44" fontId="3" fillId="6" borderId="15" xfId="4" applyNumberFormat="1" applyBorder="1" applyAlignment="1">
      <alignment horizontal="center"/>
    </xf>
    <xf numFmtId="44" fontId="3" fillId="6" borderId="2" xfId="4" applyNumberFormat="1" applyBorder="1" applyAlignment="1">
      <alignment horizontal="center"/>
    </xf>
    <xf numFmtId="6" fontId="3" fillId="6" borderId="16" xfId="4" applyNumberFormat="1" applyBorder="1"/>
    <xf numFmtId="44" fontId="2" fillId="3" borderId="3" xfId="1" applyFont="1" applyFill="1" applyBorder="1"/>
    <xf numFmtId="44" fontId="0" fillId="0" borderId="3" xfId="0" applyNumberFormat="1" applyBorder="1"/>
    <xf numFmtId="0" fontId="2" fillId="3" borderId="14" xfId="0" applyFont="1" applyFill="1" applyBorder="1"/>
    <xf numFmtId="44" fontId="0" fillId="0" borderId="14" xfId="1" applyNumberFormat="1" applyFont="1" applyBorder="1"/>
    <xf numFmtId="0" fontId="1" fillId="8" borderId="0" xfId="6"/>
    <xf numFmtId="44" fontId="1" fillId="8" borderId="0" xfId="1" applyFill="1"/>
    <xf numFmtId="2" fontId="1" fillId="4" borderId="0" xfId="6" applyNumberFormat="1" applyFill="1"/>
    <xf numFmtId="44" fontId="8" fillId="3" borderId="0" xfId="1" applyFont="1" applyFill="1" applyAlignment="1">
      <alignment horizontal="center"/>
    </xf>
    <xf numFmtId="0" fontId="9" fillId="3" borderId="0" xfId="0" applyFont="1" applyFill="1"/>
    <xf numFmtId="44" fontId="8" fillId="3" borderId="0" xfId="1" applyFont="1" applyFill="1"/>
    <xf numFmtId="44" fontId="2" fillId="4" borderId="0" xfId="0" applyNumberFormat="1" applyFont="1" applyFill="1"/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44" fontId="10" fillId="3" borderId="1" xfId="1" applyFont="1" applyFill="1" applyBorder="1"/>
    <xf numFmtId="0" fontId="0" fillId="13" borderId="0" xfId="0" applyNumberFormat="1" applyFill="1"/>
  </cellXfs>
  <cellStyles count="7">
    <cellStyle name="40% - Accent5" xfId="6" builtinId="47"/>
    <cellStyle name="60% - Accent6" xfId="2" builtinId="52"/>
    <cellStyle name="Accent5" xfId="5" builtinId="45"/>
    <cellStyle name="Currency" xfId="1" builtinId="4"/>
    <cellStyle name="Neutral" xfId="4" builtinId="2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505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ett Knowlton" id="{99992A08-FD85-41B4-9045-FA6CDD06D7A6}" userId="61e39cb63a6ad8b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01-16T16:01:22.03" personId="{99992A08-FD85-41B4-9045-FA6CDD06D7A6}" id="{D29FFF90-761F-4F58-AFC4-40D9EA3E7595}">
    <text>Fill this in, What is a rough estimate of the income you will be reciving? Make this a low-end guess so that your budget comes out “better” than you plan</text>
  </threadedComment>
  <threadedComment ref="D2" dT="2025-01-16T17:23:47.58" personId="{99992A08-FD85-41B4-9045-FA6CDD06D7A6}" id="{84E7E592-83B0-4088-9C8C-17013D79A833}">
    <text>Put your actual paycheck number here, investment calculator bases off this number and Real Expense total</text>
  </threadedComment>
  <threadedComment ref="B38" dT="2025-01-16T17:18:05.64" personId="{99992A08-FD85-41B4-9045-FA6CDD06D7A6}" id="{1C7F71CE-BFE2-440B-90FA-43F04AB49BBE}">
    <text>This scenario is when you just put all your surplus in a box. No Debt, No questions asked</text>
  </threadedComment>
  <threadedComment ref="C38" dT="2025-01-16T18:04:49.08" personId="{99992A08-FD85-41B4-9045-FA6CDD06D7A6}" id="{8E52BA81-917D-45B1-A5F9-41A6A2015045}">
    <text>This scenario is when you have no debt, and just want to put all your surplus into investments - choose Market rate up top</text>
  </threadedComment>
  <threadedComment ref="D38" dT="2025-01-16T18:07:04.24" personId="{99992A08-FD85-41B4-9045-FA6CDD06D7A6}" id="{0B8E5712-585F-4910-B159-3B398986EC0C}">
    <text>This scenario is when you pay debt off based on your chosen Debt Pay Rate and save the rest</text>
  </threadedComment>
  <threadedComment ref="F38" dT="2025-01-16T18:07:37.52" personId="{99992A08-FD85-41B4-9045-FA6CDD06D7A6}" id="{38195EAE-23FB-4D20-A0EC-BC425F8A0138}">
    <text>This scenario is when you pay debt off based on your chosen Debt Pay Rate and save the rest, after debt has been paid to 0 the updated rate is reflected.</text>
  </threadedComment>
  <threadedComment ref="I38" dT="2025-01-16T15:32:10.59" personId="{99992A08-FD85-41B4-9045-FA6CDD06D7A6}" id="{714F0FFE-0A16-4E8E-855E-DD8A404C609A}">
    <text>If you were to pay and prevent any interest from building</text>
  </threadedComment>
  <threadedComment ref="J38" dT="2025-01-16T15:31:54.57" personId="{99992A08-FD85-41B4-9045-FA6CDD06D7A6}" id="{2367154D-9825-44EC-BB84-9F68B9FC8059}">
    <text>Paying a full amount and then applying interest</text>
  </threadedComment>
  <threadedComment ref="J38" dT="2025-01-16T15:41:53.74" personId="{99992A08-FD85-41B4-9045-FA6CDD06D7A6}" id="{9F7B38CB-24CC-4D76-AFA0-D7A1D7350DCD}" parentId="{2367154D-9825-44EC-BB84-9F68B9FC8059}">
    <text>Pretty much like Realistic but if you were to pay a lump sum all at once- then apply interest instead of monthly</text>
  </threadedComment>
  <threadedComment ref="L38" dT="2025-01-16T15:32:58.61" personId="{99992A08-FD85-41B4-9045-FA6CDD06D7A6}" id="{FE7EFF41-81D2-4943-A9B3-B551EB6FAFFC}">
    <text>The amount of interest you created in the Fullpay + Oof Scenario</text>
  </threadedComment>
  <threadedComment ref="M38" dT="2025-01-16T15:32:24.94" personId="{99992A08-FD85-41B4-9045-FA6CDD06D7A6}" id="{8AC4D484-F5D6-4B7A-8E69-0F2838511E49}">
    <text>Not paying anything</text>
  </threadedComment>
  <threadedComment ref="M38" dT="2025-01-16T15:44:49.84" personId="{99992A08-FD85-41B4-9045-FA6CDD06D7A6}" id="{D309CF04-023E-4C90-887B-B36DD617E3E7}" parentId="{8AC4D484-F5D6-4B7A-8E69-0F2838511E49}">
    <text>Seriously bullshit if you try not paying ANYTHING</text>
  </threadedComment>
  <threadedComment ref="N38" dT="2025-01-16T15:33:19.66" personId="{99992A08-FD85-41B4-9045-FA6CDD06D7A6}" id="{E5AA788C-30AC-4631-A92D-78B8D1D03925}">
    <text>The amount of interest you created in the NoPay scenario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3B1E-0EB1-4524-922D-82352D299153}">
  <dimension ref="A1:N100"/>
  <sheetViews>
    <sheetView tabSelected="1" zoomScale="85" zoomScaleNormal="85" workbookViewId="0">
      <selection activeCell="E18" sqref="E18"/>
    </sheetView>
  </sheetViews>
  <sheetFormatPr defaultRowHeight="15" x14ac:dyDescent="0.25"/>
  <cols>
    <col min="1" max="1" width="20.42578125" customWidth="1"/>
    <col min="2" max="2" width="23.85546875" bestFit="1" customWidth="1"/>
    <col min="3" max="3" width="21" bestFit="1" customWidth="1"/>
    <col min="4" max="4" width="23.85546875" bestFit="1" customWidth="1"/>
    <col min="5" max="5" width="24" bestFit="1" customWidth="1"/>
    <col min="6" max="6" width="35.28515625" customWidth="1"/>
    <col min="7" max="7" width="19.140625" customWidth="1"/>
    <col min="8" max="8" width="19.5703125" bestFit="1" customWidth="1"/>
    <col min="9" max="9" width="17" bestFit="1" customWidth="1"/>
    <col min="10" max="10" width="12.5703125" bestFit="1" customWidth="1"/>
    <col min="11" max="11" width="13.7109375" bestFit="1" customWidth="1"/>
    <col min="12" max="12" width="14.42578125" bestFit="1" customWidth="1"/>
    <col min="13" max="13" width="14.85546875" bestFit="1" customWidth="1"/>
    <col min="14" max="14" width="13.85546875" bestFit="1" customWidth="1"/>
    <col min="15" max="15" width="7.140625" customWidth="1"/>
  </cols>
  <sheetData>
    <row r="1" spans="1:8" x14ac:dyDescent="0.25">
      <c r="A1" s="17" t="s">
        <v>51</v>
      </c>
      <c r="B1" s="5"/>
      <c r="C1" s="27" t="s">
        <v>28</v>
      </c>
      <c r="D1" s="27" t="s">
        <v>4</v>
      </c>
      <c r="E1" s="14" t="s">
        <v>49</v>
      </c>
      <c r="F1" s="2">
        <f>PRODUCT(C2,C3)</f>
        <v>60</v>
      </c>
      <c r="G1" s="5" t="s">
        <v>50</v>
      </c>
      <c r="H1" s="2">
        <f>PRODUCT(D2, C3)</f>
        <v>60</v>
      </c>
    </row>
    <row r="2" spans="1:8" x14ac:dyDescent="0.25">
      <c r="A2" s="18"/>
      <c r="B2" s="27" t="s">
        <v>29</v>
      </c>
      <c r="C2" s="15">
        <v>60</v>
      </c>
      <c r="D2" s="15">
        <v>60</v>
      </c>
      <c r="E2" s="5" t="s">
        <v>45</v>
      </c>
      <c r="F2" s="7">
        <f>B23</f>
        <v>48</v>
      </c>
      <c r="G2" s="5" t="s">
        <v>22</v>
      </c>
      <c r="H2" s="7">
        <f>C23</f>
        <v>48</v>
      </c>
    </row>
    <row r="3" spans="1:8" x14ac:dyDescent="0.25">
      <c r="A3" s="18"/>
      <c r="B3" s="27" t="s">
        <v>53</v>
      </c>
      <c r="C3" s="21">
        <v>1</v>
      </c>
      <c r="D3" s="63"/>
      <c r="E3" s="5" t="s">
        <v>46</v>
      </c>
      <c r="F3" s="2">
        <f>F1 - F2</f>
        <v>12</v>
      </c>
      <c r="G3" s="5"/>
      <c r="H3" s="5"/>
    </row>
    <row r="4" spans="1:8" x14ac:dyDescent="0.25">
      <c r="A4" s="18"/>
      <c r="B4" s="5"/>
      <c r="C4" s="5"/>
      <c r="D4" s="16"/>
      <c r="E4" s="5"/>
      <c r="F4" s="16"/>
      <c r="G4" s="5"/>
      <c r="H4" s="5"/>
    </row>
    <row r="5" spans="1:8" x14ac:dyDescent="0.25">
      <c r="A5" s="68" t="s">
        <v>0</v>
      </c>
      <c r="B5" s="68" t="s">
        <v>48</v>
      </c>
      <c r="C5" s="68" t="s">
        <v>54</v>
      </c>
      <c r="D5" s="8" t="s">
        <v>30</v>
      </c>
      <c r="E5" s="70"/>
      <c r="F5" s="8" t="s">
        <v>1</v>
      </c>
      <c r="G5" s="8" t="s">
        <v>2</v>
      </c>
      <c r="H5" s="8" t="s">
        <v>44</v>
      </c>
    </row>
    <row r="6" spans="1:8" x14ac:dyDescent="0.25">
      <c r="A6" s="69"/>
      <c r="B6" s="69"/>
      <c r="C6" s="69"/>
      <c r="D6" s="72">
        <v>0</v>
      </c>
      <c r="E6" s="71"/>
      <c r="F6" s="3">
        <f>F1</f>
        <v>60</v>
      </c>
      <c r="G6" s="3">
        <f>H1</f>
        <v>60</v>
      </c>
      <c r="H6" s="3">
        <f>G6-F6</f>
        <v>0</v>
      </c>
    </row>
    <row r="7" spans="1:8" x14ac:dyDescent="0.25">
      <c r="A7" s="9" t="s">
        <v>55</v>
      </c>
      <c r="B7" s="62">
        <v>12</v>
      </c>
      <c r="C7" s="62">
        <v>12</v>
      </c>
      <c r="D7" s="1">
        <f t="shared" ref="D7:D9" si="0">B7-C7</f>
        <v>0</v>
      </c>
      <c r="F7" s="3">
        <f>F6-B7</f>
        <v>48</v>
      </c>
      <c r="G7" s="3">
        <f>G6-C7</f>
        <v>48</v>
      </c>
      <c r="H7" s="3">
        <f t="shared" ref="H7:H23" si="1">G7-F7</f>
        <v>0</v>
      </c>
    </row>
    <row r="8" spans="1:8" x14ac:dyDescent="0.25">
      <c r="A8" s="9" t="s">
        <v>56</v>
      </c>
      <c r="B8" s="62">
        <v>6</v>
      </c>
      <c r="C8" s="62">
        <v>6</v>
      </c>
      <c r="D8" s="1">
        <f t="shared" si="0"/>
        <v>0</v>
      </c>
      <c r="F8" s="3">
        <f>F7-B9</f>
        <v>46</v>
      </c>
      <c r="G8" s="3">
        <f>G7-C9</f>
        <v>46</v>
      </c>
      <c r="H8" s="3">
        <f t="shared" si="1"/>
        <v>0</v>
      </c>
    </row>
    <row r="9" spans="1:8" x14ac:dyDescent="0.25">
      <c r="A9" s="9" t="s">
        <v>57</v>
      </c>
      <c r="B9" s="62">
        <v>2</v>
      </c>
      <c r="C9" s="62">
        <v>2</v>
      </c>
      <c r="D9" s="1">
        <f t="shared" si="0"/>
        <v>0</v>
      </c>
      <c r="F9" s="3">
        <f>F8-B10</f>
        <v>43</v>
      </c>
      <c r="G9" s="3">
        <f>G8-C10</f>
        <v>43</v>
      </c>
      <c r="H9" s="3">
        <f t="shared" si="1"/>
        <v>0</v>
      </c>
    </row>
    <row r="10" spans="1:8" x14ac:dyDescent="0.25">
      <c r="A10" s="9" t="s">
        <v>58</v>
      </c>
      <c r="B10" s="62">
        <v>3</v>
      </c>
      <c r="C10" s="62">
        <v>3</v>
      </c>
      <c r="D10" s="1">
        <f>B10-C10</f>
        <v>0</v>
      </c>
      <c r="F10" s="3">
        <f>F8-B10</f>
        <v>43</v>
      </c>
      <c r="G10" s="3">
        <f>G8-C10</f>
        <v>43</v>
      </c>
      <c r="H10" s="3">
        <f t="shared" si="1"/>
        <v>0</v>
      </c>
    </row>
    <row r="11" spans="1:8" x14ac:dyDescent="0.25">
      <c r="A11" s="9" t="s">
        <v>59</v>
      </c>
      <c r="B11" s="62">
        <v>4</v>
      </c>
      <c r="C11" s="62">
        <v>4</v>
      </c>
      <c r="D11" s="1">
        <f>B11-C11</f>
        <v>0</v>
      </c>
      <c r="F11" s="3">
        <f t="shared" ref="F11:F21" si="2">F10-B11</f>
        <v>39</v>
      </c>
      <c r="G11" s="3">
        <f t="shared" ref="G11:G21" si="3">G10-C11</f>
        <v>39</v>
      </c>
      <c r="H11" s="3">
        <f t="shared" si="1"/>
        <v>0</v>
      </c>
    </row>
    <row r="12" spans="1:8" x14ac:dyDescent="0.25">
      <c r="A12" s="9" t="s">
        <v>60</v>
      </c>
      <c r="B12" s="62">
        <v>5</v>
      </c>
      <c r="C12" s="62">
        <v>5</v>
      </c>
      <c r="D12" s="1">
        <f>B12-C12</f>
        <v>0</v>
      </c>
      <c r="F12" s="3">
        <f t="shared" si="2"/>
        <v>34</v>
      </c>
      <c r="G12" s="3">
        <f t="shared" si="3"/>
        <v>34</v>
      </c>
      <c r="H12" s="3">
        <f t="shared" si="1"/>
        <v>0</v>
      </c>
    </row>
    <row r="13" spans="1:8" x14ac:dyDescent="0.25">
      <c r="A13" s="9" t="s">
        <v>61</v>
      </c>
      <c r="B13" s="62">
        <v>16</v>
      </c>
      <c r="C13" s="62">
        <v>16</v>
      </c>
      <c r="D13" s="1">
        <f>B13-C13</f>
        <v>0</v>
      </c>
      <c r="F13" s="3">
        <f t="shared" si="2"/>
        <v>18</v>
      </c>
      <c r="G13" s="3">
        <f t="shared" si="3"/>
        <v>18</v>
      </c>
      <c r="H13" s="3">
        <f t="shared" si="1"/>
        <v>0</v>
      </c>
    </row>
    <row r="14" spans="1:8" x14ac:dyDescent="0.25">
      <c r="A14" s="9"/>
      <c r="B14" s="62"/>
      <c r="C14" s="62"/>
      <c r="D14" s="1">
        <f>B14-C14</f>
        <v>0</v>
      </c>
      <c r="F14" s="3">
        <f t="shared" si="2"/>
        <v>18</v>
      </c>
      <c r="G14" s="3">
        <f t="shared" si="3"/>
        <v>18</v>
      </c>
      <c r="H14" s="3">
        <f t="shared" si="1"/>
        <v>0</v>
      </c>
    </row>
    <row r="15" spans="1:8" x14ac:dyDescent="0.25">
      <c r="A15" s="9"/>
      <c r="B15" s="62"/>
      <c r="C15" s="62"/>
      <c r="D15" s="1">
        <f>B15-C15</f>
        <v>0</v>
      </c>
      <c r="F15" s="3">
        <f t="shared" si="2"/>
        <v>18</v>
      </c>
      <c r="G15" s="3">
        <f t="shared" si="3"/>
        <v>18</v>
      </c>
      <c r="H15" s="3">
        <f t="shared" si="1"/>
        <v>0</v>
      </c>
    </row>
    <row r="16" spans="1:8" x14ac:dyDescent="0.25">
      <c r="A16" s="9"/>
      <c r="B16" s="62"/>
      <c r="C16" s="62"/>
      <c r="D16" s="1">
        <f>B16-C16</f>
        <v>0</v>
      </c>
      <c r="F16" s="3">
        <f t="shared" si="2"/>
        <v>18</v>
      </c>
      <c r="G16" s="3">
        <f t="shared" si="3"/>
        <v>18</v>
      </c>
      <c r="H16" s="3">
        <f t="shared" si="1"/>
        <v>0</v>
      </c>
    </row>
    <row r="17" spans="1:9" x14ac:dyDescent="0.25">
      <c r="A17" s="9"/>
      <c r="B17" s="62"/>
      <c r="C17" s="62"/>
      <c r="D17" s="1">
        <f>B17-C17</f>
        <v>0</v>
      </c>
      <c r="F17" s="3">
        <f t="shared" si="2"/>
        <v>18</v>
      </c>
      <c r="G17" s="3">
        <f t="shared" si="3"/>
        <v>18</v>
      </c>
      <c r="H17" s="3">
        <f t="shared" si="1"/>
        <v>0</v>
      </c>
    </row>
    <row r="18" spans="1:9" x14ac:dyDescent="0.25">
      <c r="A18" s="9"/>
      <c r="B18" s="62"/>
      <c r="C18" s="62"/>
      <c r="D18" s="1">
        <f>B18-C18</f>
        <v>0</v>
      </c>
      <c r="F18" s="3">
        <f t="shared" si="2"/>
        <v>18</v>
      </c>
      <c r="G18" s="3">
        <f t="shared" si="3"/>
        <v>18</v>
      </c>
      <c r="H18" s="3">
        <f t="shared" si="1"/>
        <v>0</v>
      </c>
    </row>
    <row r="19" spans="1:9" x14ac:dyDescent="0.25">
      <c r="A19" s="9"/>
      <c r="B19" s="62"/>
      <c r="C19" s="62"/>
      <c r="D19" s="1">
        <f>B19-C19</f>
        <v>0</v>
      </c>
      <c r="F19" s="3">
        <f t="shared" si="2"/>
        <v>18</v>
      </c>
      <c r="G19" s="3">
        <f t="shared" si="3"/>
        <v>18</v>
      </c>
      <c r="H19" s="3">
        <f t="shared" si="1"/>
        <v>0</v>
      </c>
    </row>
    <row r="20" spans="1:9" x14ac:dyDescent="0.25">
      <c r="A20" s="9"/>
      <c r="B20" s="62"/>
      <c r="C20" s="62"/>
      <c r="D20" s="1">
        <f>B20-C20</f>
        <v>0</v>
      </c>
      <c r="F20" s="3">
        <f t="shared" si="2"/>
        <v>18</v>
      </c>
      <c r="G20" s="3">
        <f t="shared" si="3"/>
        <v>18</v>
      </c>
      <c r="H20" s="3">
        <f t="shared" si="1"/>
        <v>0</v>
      </c>
    </row>
    <row r="21" spans="1:9" x14ac:dyDescent="0.25">
      <c r="A21" s="9"/>
      <c r="B21" s="62"/>
      <c r="C21" s="62"/>
      <c r="D21" s="1">
        <f>B21-C21</f>
        <v>0</v>
      </c>
      <c r="F21" s="3">
        <f t="shared" si="2"/>
        <v>18</v>
      </c>
      <c r="G21" s="3">
        <f t="shared" si="3"/>
        <v>18</v>
      </c>
      <c r="H21" s="3">
        <f t="shared" si="1"/>
        <v>0</v>
      </c>
    </row>
    <row r="22" spans="1:9" x14ac:dyDescent="0.25">
      <c r="A22" s="8"/>
      <c r="B22" s="4" t="s">
        <v>6</v>
      </c>
      <c r="C22" s="4" t="s">
        <v>21</v>
      </c>
      <c r="D22" s="4" t="s">
        <v>35</v>
      </c>
      <c r="E22" s="4"/>
      <c r="F22" s="4" t="s">
        <v>3</v>
      </c>
      <c r="G22" s="4" t="s">
        <v>4</v>
      </c>
      <c r="H22" s="4" t="s">
        <v>44</v>
      </c>
      <c r="I22" s="4" t="s">
        <v>62</v>
      </c>
    </row>
    <row r="23" spans="1:9" x14ac:dyDescent="0.25">
      <c r="A23" s="8"/>
      <c r="B23" s="7">
        <f>SUM(B6:B15)</f>
        <v>48</v>
      </c>
      <c r="C23" s="7">
        <f>SUM(C6:C15)</f>
        <v>48</v>
      </c>
      <c r="D23" s="1">
        <f>B23-C23</f>
        <v>0</v>
      </c>
      <c r="E23" s="67" t="s">
        <v>5</v>
      </c>
      <c r="F23" s="1">
        <f>F1 - B23</f>
        <v>12</v>
      </c>
      <c r="G23" s="1">
        <f>H1 - C23</f>
        <v>12</v>
      </c>
      <c r="H23" s="1">
        <f t="shared" si="1"/>
        <v>0</v>
      </c>
      <c r="I23" s="12">
        <f>H23/H1</f>
        <v>0</v>
      </c>
    </row>
    <row r="24" spans="1:9" x14ac:dyDescent="0.25">
      <c r="C24" s="1"/>
      <c r="D24" s="1"/>
      <c r="E24" s="1"/>
      <c r="G24" s="3"/>
      <c r="H24" s="3"/>
    </row>
    <row r="25" spans="1:9" ht="15.75" thickBot="1" x14ac:dyDescent="0.3">
      <c r="C25" s="1"/>
      <c r="D25" s="1"/>
      <c r="E25" s="1"/>
      <c r="G25" s="3"/>
      <c r="H25" s="3"/>
    </row>
    <row r="26" spans="1:9" x14ac:dyDescent="0.25">
      <c r="A26" s="42" t="s">
        <v>15</v>
      </c>
      <c r="B26" s="43"/>
      <c r="C26" s="43"/>
      <c r="D26" s="44"/>
      <c r="E26" s="33"/>
      <c r="F26" s="34"/>
      <c r="G26" s="3"/>
      <c r="H26" s="3"/>
    </row>
    <row r="27" spans="1:9" x14ac:dyDescent="0.25">
      <c r="A27" s="45" t="s">
        <v>9</v>
      </c>
      <c r="B27" s="35" t="s">
        <v>7</v>
      </c>
      <c r="C27" s="35"/>
      <c r="D27" s="36" t="s">
        <v>8</v>
      </c>
      <c r="E27" s="49" t="s">
        <v>20</v>
      </c>
      <c r="F27" s="50"/>
      <c r="G27" s="51"/>
      <c r="H27" s="3"/>
    </row>
    <row r="28" spans="1:9" x14ac:dyDescent="0.25">
      <c r="A28" s="45" t="s">
        <v>9</v>
      </c>
      <c r="B28" s="10" t="s">
        <v>7</v>
      </c>
      <c r="C28" s="37" t="s">
        <v>12</v>
      </c>
      <c r="D28" s="37"/>
      <c r="E28" s="52" t="s">
        <v>14</v>
      </c>
      <c r="F28" s="32"/>
      <c r="G28" s="53">
        <v>2000</v>
      </c>
      <c r="H28" s="3"/>
    </row>
    <row r="29" spans="1:9" x14ac:dyDescent="0.25">
      <c r="A29" s="45" t="s">
        <v>9</v>
      </c>
      <c r="B29" s="38" t="s">
        <v>8</v>
      </c>
      <c r="C29" s="39" t="s">
        <v>10</v>
      </c>
      <c r="D29" s="40" t="s">
        <v>11</v>
      </c>
      <c r="E29" s="52" t="s">
        <v>13</v>
      </c>
      <c r="F29" s="32"/>
      <c r="G29" s="53">
        <v>6000</v>
      </c>
      <c r="H29" s="3"/>
    </row>
    <row r="30" spans="1:9" x14ac:dyDescent="0.25">
      <c r="A30" s="45" t="s">
        <v>9</v>
      </c>
      <c r="B30" s="41" t="s">
        <v>10</v>
      </c>
      <c r="C30" s="41"/>
      <c r="D30" s="40" t="s">
        <v>11</v>
      </c>
      <c r="E30" s="54" t="s">
        <v>19</v>
      </c>
      <c r="F30" s="55"/>
      <c r="G30" s="56">
        <v>30000</v>
      </c>
      <c r="H30" s="3"/>
    </row>
    <row r="31" spans="1:9" ht="15.75" thickBot="1" x14ac:dyDescent="0.3">
      <c r="A31" s="46" t="s">
        <v>36</v>
      </c>
      <c r="B31" s="47"/>
      <c r="C31" s="47" t="s">
        <v>37</v>
      </c>
      <c r="D31" s="48"/>
      <c r="E31" s="33"/>
      <c r="F31" s="33"/>
      <c r="G31" s="3"/>
      <c r="H31" s="3"/>
    </row>
    <row r="32" spans="1:9" x14ac:dyDescent="0.25">
      <c r="A32" s="1"/>
      <c r="B32" s="1"/>
      <c r="C32" s="1"/>
      <c r="D32" s="1"/>
      <c r="E32" s="1"/>
      <c r="G32" s="3"/>
      <c r="H32" s="3"/>
    </row>
    <row r="33" spans="1:14" x14ac:dyDescent="0.25">
      <c r="C33" s="1"/>
      <c r="D33" s="1"/>
      <c r="E33" s="1"/>
    </row>
    <row r="34" spans="1:14" ht="18.75" x14ac:dyDescent="0.3">
      <c r="A34" s="64" t="s">
        <v>41</v>
      </c>
      <c r="B34" s="64"/>
      <c r="C34" s="64"/>
      <c r="D34" s="64"/>
      <c r="E34" s="65"/>
      <c r="F34" s="65"/>
      <c r="G34" s="66" t="s">
        <v>43</v>
      </c>
      <c r="H34" s="11"/>
      <c r="I34" s="24"/>
    </row>
    <row r="35" spans="1:14" ht="15" customHeight="1" x14ac:dyDescent="0.25">
      <c r="A35" s="31" t="s">
        <v>15</v>
      </c>
      <c r="B35" s="31" t="s">
        <v>9</v>
      </c>
      <c r="C35" s="31" t="s">
        <v>35</v>
      </c>
      <c r="D35" s="25" t="s">
        <v>47</v>
      </c>
      <c r="E35" s="25"/>
      <c r="F35" s="25"/>
      <c r="G35" s="26" t="s">
        <v>7</v>
      </c>
      <c r="H35" s="26" t="s">
        <v>63</v>
      </c>
      <c r="I35" s="26" t="s">
        <v>17</v>
      </c>
    </row>
    <row r="36" spans="1:14" ht="15" customHeight="1" x14ac:dyDescent="0.25">
      <c r="A36" s="2">
        <f>H1</f>
        <v>60</v>
      </c>
      <c r="B36" s="7">
        <f>C23</f>
        <v>48</v>
      </c>
      <c r="C36" s="2">
        <f>A36-B36</f>
        <v>12</v>
      </c>
      <c r="D36" s="25" t="s">
        <v>34</v>
      </c>
      <c r="E36" s="25"/>
      <c r="F36" s="25"/>
      <c r="G36" s="15">
        <v>4000</v>
      </c>
      <c r="H36" s="20">
        <v>0.2999</v>
      </c>
      <c r="I36" s="23">
        <v>0.5</v>
      </c>
    </row>
    <row r="37" spans="1:14" x14ac:dyDescent="0.25">
      <c r="A37" s="27" t="s">
        <v>42</v>
      </c>
      <c r="B37" s="61">
        <v>0.03</v>
      </c>
      <c r="C37" s="22"/>
      <c r="D37" s="25"/>
      <c r="E37" s="25"/>
      <c r="F37" s="25"/>
      <c r="G37" s="29" t="s">
        <v>52</v>
      </c>
      <c r="H37" s="73">
        <f>(1+($H$36/ I37))</f>
        <v>1.0008216438356163</v>
      </c>
      <c r="I37" s="30">
        <v>365</v>
      </c>
    </row>
    <row r="38" spans="1:14" x14ac:dyDescent="0.25">
      <c r="A38" s="4"/>
      <c r="B38" s="4" t="s">
        <v>31</v>
      </c>
      <c r="C38" s="4" t="s">
        <v>38</v>
      </c>
      <c r="D38" s="4" t="s">
        <v>32</v>
      </c>
      <c r="E38" s="4" t="s">
        <v>33</v>
      </c>
      <c r="F38" s="4" t="s">
        <v>39</v>
      </c>
      <c r="G38" s="59" t="s">
        <v>40</v>
      </c>
      <c r="H38" s="57" t="s">
        <v>27</v>
      </c>
      <c r="I38" s="28" t="s">
        <v>26</v>
      </c>
      <c r="J38" s="4" t="s">
        <v>24</v>
      </c>
      <c r="K38" s="4" t="s">
        <v>18</v>
      </c>
      <c r="L38" s="4" t="s">
        <v>16</v>
      </c>
      <c r="M38" s="4" t="s">
        <v>25</v>
      </c>
      <c r="N38" s="6" t="s">
        <v>23</v>
      </c>
    </row>
    <row r="39" spans="1:14" x14ac:dyDescent="0.25">
      <c r="A39" s="13">
        <v>1</v>
      </c>
      <c r="B39" s="1">
        <f>$C$36*A39</f>
        <v>12</v>
      </c>
      <c r="C39" s="19">
        <f>B39*(1+($B$37 / 12))^(12*A39)</f>
        <v>12.364991482962081</v>
      </c>
      <c r="D39" s="19">
        <f>($C$36*(1 - $I$36))*A39</f>
        <v>6</v>
      </c>
      <c r="E39" s="19">
        <f>D39*(1+(0.07 / 12))^(12*A39)</f>
        <v>6.4337404851374149</v>
      </c>
      <c r="F39" s="19">
        <f>IF(H39 = 0,(1-$I$36)*$C$36- I39, ((1-$I$36)*$C$36))</f>
        <v>6</v>
      </c>
      <c r="G39" s="60">
        <f>F39*(1+(0.07 / I37))^(I37*A39)</f>
        <v>6.4350058990268089</v>
      </c>
      <c r="H39" s="58">
        <f>MAX(0, ($G$36 - ($C$36 *$I$36)) *$H$37)</f>
        <v>3997.2816454794515</v>
      </c>
      <c r="I39" s="1">
        <f>(G36-($C$36*$I$36))</f>
        <v>3994</v>
      </c>
      <c r="J39" s="3">
        <f>I39 *$H$37</f>
        <v>3997.2816454794515</v>
      </c>
      <c r="K39" s="3">
        <f>IF(K38 = K37, 0, H39 - I39)</f>
        <v>3.2816454794515266</v>
      </c>
      <c r="L39" s="3">
        <f>J39-I39</f>
        <v>3.2816454794515266</v>
      </c>
      <c r="M39" s="3">
        <f>G36*$H$37</f>
        <v>4003.2865753424653</v>
      </c>
      <c r="N39" s="3">
        <f>M39-$G$36</f>
        <v>3.2865753424653121</v>
      </c>
    </row>
    <row r="40" spans="1:14" x14ac:dyDescent="0.25">
      <c r="A40" s="13">
        <v>2</v>
      </c>
      <c r="B40" s="1">
        <f>$C$36*A40</f>
        <v>24</v>
      </c>
      <c r="C40" s="19">
        <f t="shared" ref="C40:C51" si="4">B40*(1+($B$37 / 12))^(12*A40)</f>
        <v>25.482169062287465</v>
      </c>
      <c r="D40" s="19">
        <f>($C$36*(1 - $I$36))*A40</f>
        <v>12</v>
      </c>
      <c r="E40" s="19">
        <f>D40*(1+(0.07 / 12))^(12*A40)</f>
        <v>13.797672210032076</v>
      </c>
      <c r="F40" s="19">
        <f>IF(H40 = 0, F39 + $C$36 -I40, F39 + ((1-$I$36)*$C$36))</f>
        <v>12</v>
      </c>
      <c r="G40" s="60">
        <f>F40*(1+(0.07 / $I$37))^($I$37*A40)</f>
        <v>13.803100306836608</v>
      </c>
      <c r="H40" s="58">
        <f>MAX(0, (H39 - ($C$36 *$I$36)) *$H$37)</f>
        <v>3994.5610574396683</v>
      </c>
      <c r="I40" s="1">
        <f>MAX(0,I39-($C$36*$I$36))</f>
        <v>3988</v>
      </c>
      <c r="J40" s="3">
        <f>IF(I40 = 0, 0, I40 *$H$37)</f>
        <v>3991.2767156164377</v>
      </c>
      <c r="K40" s="3">
        <f>IF(K39 = K38, 0, H40 - I40)</f>
        <v>6.561057439668275</v>
      </c>
      <c r="L40" s="3">
        <f>J40-I40</f>
        <v>3.2767156164377411</v>
      </c>
      <c r="M40" s="3">
        <f>M39*POWER($H$37, A40)</f>
        <v>4009.8678294292695</v>
      </c>
      <c r="N40" s="3">
        <f>M40-$G$36</f>
        <v>9.8678294292694773</v>
      </c>
    </row>
    <row r="41" spans="1:14" x14ac:dyDescent="0.25">
      <c r="A41" s="13">
        <v>3</v>
      </c>
      <c r="B41" s="1">
        <f>$C$36*A41</f>
        <v>36</v>
      </c>
      <c r="C41" s="19">
        <f t="shared" si="4"/>
        <v>39.385850427823051</v>
      </c>
      <c r="D41" s="19">
        <f>($C$36*(1 - $I$36))*A41</f>
        <v>18</v>
      </c>
      <c r="E41" s="19">
        <f>D41*(1+(0.07 / 12))^(12*A41)</f>
        <v>22.1926605745847</v>
      </c>
      <c r="F41" s="19">
        <f t="shared" ref="F41:F62" si="5">IF(H41 = 0, F40 + $C$36 -I41, F40 + ((1-$I$36)*$C$36))</f>
        <v>18</v>
      </c>
      <c r="G41" s="60">
        <f t="shared" ref="G41:G100" si="6">F41*(1+(0.07 / $I$37))^($I$37*A41)</f>
        <v>22.205757974838075</v>
      </c>
      <c r="H41" s="58">
        <f>MAX(0, (H40 - ($C$36 *$I$36)) *$H$37)</f>
        <v>3991.8382340454928</v>
      </c>
      <c r="I41" s="1">
        <f>MAX(0,I40-($C$36*$I$36))</f>
        <v>3982</v>
      </c>
      <c r="J41" s="3">
        <f>IF(I41 = 0, 0, I41 *$H$37)</f>
        <v>3985.2717857534244</v>
      </c>
      <c r="K41" s="3">
        <f>IF(K40 = K39, 0, H41 - I41)</f>
        <v>9.8382340454927544</v>
      </c>
      <c r="L41" s="3">
        <f>J41-I41</f>
        <v>3.2717857534244104</v>
      </c>
      <c r="M41" s="3">
        <f>M40*POWER($H$37, A41)</f>
        <v>4019.7600023729506</v>
      </c>
      <c r="N41" s="3">
        <f>M41-$G$36</f>
        <v>19.760002372950566</v>
      </c>
    </row>
    <row r="42" spans="1:14" x14ac:dyDescent="0.25">
      <c r="A42" s="13">
        <v>4</v>
      </c>
      <c r="B42" s="1">
        <f>$C$36*A42</f>
        <v>48</v>
      </c>
      <c r="C42" s="19">
        <f t="shared" si="4"/>
        <v>54.111745009916717</v>
      </c>
      <c r="D42" s="19">
        <f>($C$36*(1 - $I$36))*A42</f>
        <v>24</v>
      </c>
      <c r="E42" s="19">
        <f>D42*(1+(0.07 / 12))^(12*A42)</f>
        <v>31.72929306924857</v>
      </c>
      <c r="F42" s="19">
        <f t="shared" si="5"/>
        <v>24</v>
      </c>
      <c r="G42" s="60">
        <f t="shared" si="6"/>
        <v>31.75426301343213</v>
      </c>
      <c r="H42" s="58">
        <f>MAX(0, (H41 - ($C$36 *$I$36)) *$H$37)</f>
        <v>3989.11317346026</v>
      </c>
      <c r="I42" s="1">
        <f>MAX(0,I41-($C$36*$I$36))</f>
        <v>3976</v>
      </c>
      <c r="J42" s="3">
        <f>IF(I42 = 0, 0, I42 *$H$37)</f>
        <v>3979.2668558904106</v>
      </c>
      <c r="K42" s="3">
        <f>IF(K41 = K40, 0, H42 - I42)</f>
        <v>13.113173460259986</v>
      </c>
      <c r="L42" s="3">
        <f>J42-I42</f>
        <v>3.2668558904106249</v>
      </c>
      <c r="M42" s="3">
        <f>M41*POWER($H$37, A42)</f>
        <v>4032.9875378060228</v>
      </c>
      <c r="N42" s="3">
        <f>M42-$G$36</f>
        <v>32.987537806022829</v>
      </c>
    </row>
    <row r="43" spans="1:14" x14ac:dyDescent="0.25">
      <c r="A43" s="13">
        <v>5</v>
      </c>
      <c r="B43" s="1">
        <f>$C$36*A43</f>
        <v>60</v>
      </c>
      <c r="C43" s="19">
        <f t="shared" si="4"/>
        <v>69.697006893316257</v>
      </c>
      <c r="D43" s="19">
        <f>($C$36*(1 - $I$36))*A43</f>
        <v>30</v>
      </c>
      <c r="E43" s="19">
        <f>D43*(1+(0.07 / 12))^(12*A43)</f>
        <v>42.528757788419696</v>
      </c>
      <c r="F43" s="19">
        <f t="shared" si="5"/>
        <v>30</v>
      </c>
      <c r="G43" s="60">
        <f t="shared" si="6"/>
        <v>42.57059787722595</v>
      </c>
      <c r="H43" s="58">
        <f>MAX(0, (H42 - ($C$36 *$I$36)) *$H$37)</f>
        <v>3986.3858738457957</v>
      </c>
      <c r="I43" s="1">
        <f>MAX(0,I42-($C$36*$I$36))</f>
        <v>3970</v>
      </c>
      <c r="J43" s="3">
        <f>IF(I43 = 0, 0, I43 *$H$37)</f>
        <v>3973.2619260273968</v>
      </c>
      <c r="K43" s="3">
        <f>IF(K42 = K41, 0, H43 - I43)</f>
        <v>16.385873845795686</v>
      </c>
      <c r="L43" s="3">
        <f>J43-I43</f>
        <v>3.2619260273968393</v>
      </c>
      <c r="M43" s="3">
        <f>M42*POWER($H$37, A43)</f>
        <v>4049.5831835757031</v>
      </c>
      <c r="N43" s="3">
        <f>M43-$G$36</f>
        <v>49.58318357570306</v>
      </c>
    </row>
    <row r="44" spans="1:14" x14ac:dyDescent="0.25">
      <c r="A44" s="13">
        <v>6</v>
      </c>
      <c r="B44" s="1">
        <f>$C$36*A44</f>
        <v>72</v>
      </c>
      <c r="C44" s="19">
        <f t="shared" si="4"/>
        <v>86.180289662380488</v>
      </c>
      <c r="D44" s="19">
        <f>($C$36*(1 - $I$36))*A44</f>
        <v>36</v>
      </c>
      <c r="E44" s="19">
        <f>D44*(1+(0.07 / 12))^(12*A44)</f>
        <v>54.723798153191794</v>
      </c>
      <c r="F44" s="19">
        <f t="shared" si="5"/>
        <v>36</v>
      </c>
      <c r="G44" s="60">
        <f t="shared" si="6"/>
        <v>54.788409693009413</v>
      </c>
      <c r="H44" s="58">
        <f>MAX(0, (H43 - ($C$36 *$I$36)) *$H$37)</f>
        <v>3983.6563333624154</v>
      </c>
      <c r="I44" s="1">
        <f>MAX(0,I43-($C$36*$I$36))</f>
        <v>3964</v>
      </c>
      <c r="J44" s="3">
        <f>IF(I44 = 0, 0, I44 *$H$37)</f>
        <v>3967.2569961643831</v>
      </c>
      <c r="K44" s="3">
        <f>IF(K43 = K42, 0, H44 - I44)</f>
        <v>19.656333362415353</v>
      </c>
      <c r="L44" s="3">
        <f>J44-I44</f>
        <v>3.2569961643830538</v>
      </c>
      <c r="M44" s="3">
        <f>M43*POWER($H$37, A44)</f>
        <v>4069.5881269049323</v>
      </c>
      <c r="N44" s="3">
        <f>M44-$G$36</f>
        <v>69.588126904932324</v>
      </c>
    </row>
    <row r="45" spans="1:14" x14ac:dyDescent="0.25">
      <c r="A45" s="13">
        <v>7</v>
      </c>
      <c r="B45" s="1">
        <f>$C$36*A45</f>
        <v>84</v>
      </c>
      <c r="C45" s="19">
        <f t="shared" si="4"/>
        <v>103.60180324613583</v>
      </c>
      <c r="D45" s="19">
        <f>($C$36*(1 - $I$36))*A45</f>
        <v>42</v>
      </c>
      <c r="E45" s="19">
        <f>D45*(1+(0.07 / 12))^(12*A45)</f>
        <v>68.459750270854073</v>
      </c>
      <c r="F45" s="19">
        <f t="shared" si="5"/>
        <v>42</v>
      </c>
      <c r="G45" s="60">
        <f t="shared" si="6"/>
        <v>68.554060472491429</v>
      </c>
      <c r="H45" s="58">
        <f>MAX(0, (H44 - ($C$36 *$I$36)) *$H$37)</f>
        <v>3980.9245501689229</v>
      </c>
      <c r="I45" s="1">
        <f>MAX(0,I44-($C$36*$I$36))</f>
        <v>3958</v>
      </c>
      <c r="J45" s="3">
        <f>IF(I45 = 0, 0, I45 *$H$37)</f>
        <v>3961.2520663013693</v>
      </c>
      <c r="K45" s="3">
        <f>IF(K44 = K43, 0, H45 - I45)</f>
        <v>22.924550168922906</v>
      </c>
      <c r="L45" s="3">
        <f>J45-I45</f>
        <v>3.2520663013692683</v>
      </c>
      <c r="M45" s="3">
        <f>M44*POWER($H$37, A45)</f>
        <v>4093.0521648008976</v>
      </c>
      <c r="N45" s="3">
        <f>M45-$G$36</f>
        <v>93.052164800897572</v>
      </c>
    </row>
    <row r="46" spans="1:14" x14ac:dyDescent="0.25">
      <c r="A46" s="13">
        <v>8</v>
      </c>
      <c r="B46" s="1">
        <f>$C$36*A46</f>
        <v>96</v>
      </c>
      <c r="C46" s="19">
        <f t="shared" si="4"/>
        <v>122.00337283409361</v>
      </c>
      <c r="D46" s="19">
        <f>($C$36*(1 - $I$36))*A46</f>
        <v>48</v>
      </c>
      <c r="E46" s="19">
        <f>D46*(1+(0.07 / 12))^(12*A46)</f>
        <v>83.895669889522111</v>
      </c>
      <c r="F46" s="19">
        <f t="shared" si="5"/>
        <v>48</v>
      </c>
      <c r="G46" s="60">
        <f t="shared" si="6"/>
        <v>84.027768293851977</v>
      </c>
      <c r="H46" s="58">
        <f>MAX(0, (H45 - ($C$36 *$I$36)) *$H$37)</f>
        <v>3978.1905224226093</v>
      </c>
      <c r="I46" s="1">
        <f>MAX(0,I45-($C$36*$I$36))</f>
        <v>3952</v>
      </c>
      <c r="J46" s="3">
        <f>IF(I46 = 0, 0, I46 *$H$37)</f>
        <v>3955.2471364383559</v>
      </c>
      <c r="K46" s="3">
        <f>IF(K45 = K44, 0, H46 - I46)</f>
        <v>26.19052242260932</v>
      </c>
      <c r="L46" s="3">
        <f>J46-I46</f>
        <v>3.2471364383559376</v>
      </c>
      <c r="M46" s="3">
        <f>M45*POWER($H$37, A46)</f>
        <v>4120.0339106983893</v>
      </c>
      <c r="N46" s="3">
        <f>M46-$G$36</f>
        <v>120.03391069838926</v>
      </c>
    </row>
    <row r="47" spans="1:14" x14ac:dyDescent="0.25">
      <c r="A47" s="13">
        <v>9</v>
      </c>
      <c r="B47" s="1">
        <f>$C$36*A47</f>
        <v>108</v>
      </c>
      <c r="C47" s="19">
        <f t="shared" si="4"/>
        <v>141.42849993620763</v>
      </c>
      <c r="D47" s="19">
        <f>($C$36*(1 - $I$36))*A47</f>
        <v>54</v>
      </c>
      <c r="E47" s="19">
        <f>D47*(1+(0.07 / 12))^(12*A47)</f>
        <v>101.20555648048919</v>
      </c>
      <c r="F47" s="19">
        <f t="shared" si="5"/>
        <v>54</v>
      </c>
      <c r="G47" s="60">
        <f t="shared" si="6"/>
        <v>101.38484712243661</v>
      </c>
      <c r="H47" s="58">
        <f>MAX(0, (H46 - ($C$36 *$I$36)) *$H$37)</f>
        <v>3975.4542482792517</v>
      </c>
      <c r="I47" s="1">
        <f>MAX(0,I46-($C$36*$I$36))</f>
        <v>3946</v>
      </c>
      <c r="J47" s="3">
        <f>IF(I47 = 0, 0, I47 *$H$37)</f>
        <v>3949.2422065753422</v>
      </c>
      <c r="K47" s="3">
        <f>IF(K46 = K45, 0, H47 - I47)</f>
        <v>29.454248279251715</v>
      </c>
      <c r="L47" s="3">
        <f>J47-I47</f>
        <v>3.2422065753421521</v>
      </c>
      <c r="M47" s="3">
        <f>M46*POWER($H$37, A47)</f>
        <v>4150.6010385387854</v>
      </c>
      <c r="N47" s="3">
        <f>M47-$G$36</f>
        <v>150.60103853878536</v>
      </c>
    </row>
    <row r="48" spans="1:14" x14ac:dyDescent="0.25">
      <c r="A48" s="13">
        <v>10</v>
      </c>
      <c r="B48" s="1">
        <f>$C$36*A48</f>
        <v>120</v>
      </c>
      <c r="C48" s="19">
        <f t="shared" si="4"/>
        <v>161.92242566289909</v>
      </c>
      <c r="D48" s="19">
        <f>($C$36*(1 - $I$36))*A48</f>
        <v>60</v>
      </c>
      <c r="E48" s="19">
        <f>D48*(1+(0.07 / 12))^(12*A48)</f>
        <v>120.57968260173789</v>
      </c>
      <c r="F48" s="19">
        <f t="shared" si="5"/>
        <v>60</v>
      </c>
      <c r="G48" s="60">
        <f t="shared" si="6"/>
        <v>120.81705357496494</v>
      </c>
      <c r="H48" s="58">
        <f>MAX(0, (H47 - ($C$36 *$I$36)) *$H$37)</f>
        <v>3972.7157258931115</v>
      </c>
      <c r="I48" s="1">
        <f>MAX(0,I47-($C$36*$I$36))</f>
        <v>3940</v>
      </c>
      <c r="J48" s="3">
        <f>IF(I48 = 0, 0, I48 *$H$37)</f>
        <v>3943.2372767123284</v>
      </c>
      <c r="K48" s="3">
        <f>IF(K47 = K46, 0, H48 - I48)</f>
        <v>32.715725893111539</v>
      </c>
      <c r="L48" s="3">
        <f>J48-I48</f>
        <v>3.2372767123283666</v>
      </c>
      <c r="M48" s="3">
        <f>M47*POWER($H$37, A48)</f>
        <v>4184.8305657079136</v>
      </c>
      <c r="N48" s="3">
        <f>M48-$G$36</f>
        <v>184.83056570791359</v>
      </c>
    </row>
    <row r="49" spans="1:14" x14ac:dyDescent="0.25">
      <c r="A49" s="13">
        <v>11</v>
      </c>
      <c r="B49" s="1">
        <f>$C$36*A49</f>
        <v>132</v>
      </c>
      <c r="C49" s="19">
        <f t="shared" si="4"/>
        <v>183.5321963037116</v>
      </c>
      <c r="D49" s="19">
        <f>($C$36*(1 - $I$36))*A49</f>
        <v>66</v>
      </c>
      <c r="E49" s="19">
        <f>D49*(1+(0.07 / 12))^(12*A49)</f>
        <v>142.22603736730048</v>
      </c>
      <c r="F49" s="19">
        <f t="shared" si="5"/>
        <v>66</v>
      </c>
      <c r="G49" s="60">
        <f t="shared" si="6"/>
        <v>142.5340496172885</v>
      </c>
      <c r="H49" s="58">
        <f>MAX(0, (H48 - ($C$36 *$I$36)) *$H$37)</f>
        <v>3969.9749534169341</v>
      </c>
      <c r="I49" s="1">
        <f>MAX(0,I48-($C$36*$I$36))</f>
        <v>3934</v>
      </c>
      <c r="J49" s="3">
        <f>IF(I49 = 0, 0, I49 *$H$37)</f>
        <v>3937.2323468493146</v>
      </c>
      <c r="K49" s="3">
        <f>IF(K48 = K47, 0, H49 - I49)</f>
        <v>35.974953416934113</v>
      </c>
      <c r="L49" s="3">
        <f>J49-I49</f>
        <v>3.232346849314581</v>
      </c>
      <c r="M49" s="3">
        <f>M48*POWER($H$37, A49)</f>
        <v>4222.8091764891806</v>
      </c>
      <c r="N49" s="3">
        <f>M49-$G$36</f>
        <v>222.80917648918057</v>
      </c>
    </row>
    <row r="50" spans="1:14" x14ac:dyDescent="0.25">
      <c r="A50" s="13">
        <v>12</v>
      </c>
      <c r="B50" s="1">
        <f>$C$36*A50</f>
        <v>144</v>
      </c>
      <c r="C50" s="19">
        <f t="shared" si="4"/>
        <v>206.30673128588353</v>
      </c>
      <c r="D50" s="19">
        <f>($C$36*(1 - $I$36))*A50</f>
        <v>72</v>
      </c>
      <c r="E50" s="19">
        <f>D50*(1+(0.07 / 12))^(12*A50)</f>
        <v>166.37189357284871</v>
      </c>
      <c r="F50" s="19">
        <f t="shared" si="5"/>
        <v>72</v>
      </c>
      <c r="G50" s="60">
        <f t="shared" si="6"/>
        <v>166.76499092716932</v>
      </c>
      <c r="H50" s="58">
        <f>MAX(0, (H49 - ($C$36 *$I$36)) *$H$37)</f>
        <v>3967.2319290019468</v>
      </c>
      <c r="I50" s="1">
        <f>MAX(0,I49-($C$36*$I$36))</f>
        <v>3928</v>
      </c>
      <c r="J50" s="3">
        <f>IF(I50 = 0, 0, I50 *$H$37)</f>
        <v>3931.2274169863008</v>
      </c>
      <c r="K50" s="3">
        <f>IF(K49 = K48, 0, H50 - I50)</f>
        <v>39.23192900194681</v>
      </c>
      <c r="L50" s="3">
        <f>J50-I50</f>
        <v>3.2274169863007955</v>
      </c>
      <c r="M50" s="3">
        <f>M49*POWER($H$37, A50)</f>
        <v>4264.6335879339204</v>
      </c>
      <c r="N50" s="3">
        <f>M50-$G$36</f>
        <v>264.63358793392035</v>
      </c>
    </row>
    <row r="51" spans="1:14" x14ac:dyDescent="0.25">
      <c r="A51" s="13">
        <v>13</v>
      </c>
      <c r="B51" s="1">
        <f>$C$36*A51</f>
        <v>156</v>
      </c>
      <c r="C51" s="19">
        <f t="shared" si="4"/>
        <v>230.29689359694481</v>
      </c>
      <c r="D51" s="19">
        <f>($C$36*(1 - $I$36))*A51</f>
        <v>78</v>
      </c>
      <c r="E51" s="19">
        <f>D51*(1+(0.07 / 12))^(12*A51)</f>
        <v>193.26550881238794</v>
      </c>
      <c r="F51" s="19">
        <f t="shared" si="5"/>
        <v>78</v>
      </c>
      <c r="G51" s="60">
        <f t="shared" si="6"/>
        <v>193.76025145524062</v>
      </c>
      <c r="H51" s="58">
        <f>MAX(0, (H50 - ($C$36 *$I$36)) *$H$37)</f>
        <v>3964.4866507978577</v>
      </c>
      <c r="I51" s="1">
        <f>MAX(0,I50-($C$36*$I$36))</f>
        <v>3922</v>
      </c>
      <c r="J51" s="3">
        <f>IF(I51 = 0, 0, I51 *$H$37)</f>
        <v>3925.2224871232875</v>
      </c>
      <c r="K51" s="3">
        <f>IF(K50 = K49, 0, H51 - I51)</f>
        <v>42.486650797857692</v>
      </c>
      <c r="L51" s="3">
        <f>J51-I51</f>
        <v>3.2224871232874648</v>
      </c>
      <c r="M51" s="3">
        <f>M50*POWER($H$37, A51)</f>
        <v>4310.4109603109318</v>
      </c>
      <c r="N51" s="3">
        <f>M51-$G$36</f>
        <v>310.41096031093184</v>
      </c>
    </row>
    <row r="52" spans="1:14" x14ac:dyDescent="0.25">
      <c r="A52" s="13">
        <v>14</v>
      </c>
      <c r="B52" s="1">
        <f t="shared" ref="B52:B100" si="7">$C$36*A52</f>
        <v>168</v>
      </c>
      <c r="C52" s="19">
        <f t="shared" ref="C52:C62" si="8">B52*(1+($B$37 / 12))^(12*A52)</f>
        <v>255.55556275835812</v>
      </c>
      <c r="D52" s="19">
        <f t="shared" ref="D52:D62" si="9">($C$36*(1 - $I$36))*A52</f>
        <v>84</v>
      </c>
      <c r="E52" s="19">
        <f t="shared" ref="E52:E62" si="10">D52*(1+(0.07 / 12))^(12*A52)</f>
        <v>223.17797176893836</v>
      </c>
      <c r="F52" s="19">
        <f t="shared" si="5"/>
        <v>84</v>
      </c>
      <c r="G52" s="60">
        <f t="shared" si="6"/>
        <v>223.79329558409574</v>
      </c>
      <c r="H52" s="58">
        <f t="shared" ref="H52:H62" si="11">MAX(0, (H51 - ($C$36 *$I$36)) *$H$37)</f>
        <v>3961.7391169528555</v>
      </c>
      <c r="I52" s="1">
        <f t="shared" ref="I52:I62" si="12">MAX(0,I51-($C$36*$I$36))</f>
        <v>3916</v>
      </c>
      <c r="J52" s="3">
        <f t="shared" ref="J52:J100" si="13">IF(I52 = 0, 0, I52 *$H$37)</f>
        <v>3919.2175572602737</v>
      </c>
      <c r="K52" s="3">
        <f t="shared" ref="K52:K62" si="14">IF(K51 = K50, 0, H52 - I52)</f>
        <v>45.739116952855511</v>
      </c>
      <c r="L52" s="3">
        <f t="shared" ref="L52:L62" si="15">J52-I52</f>
        <v>3.2175572602736793</v>
      </c>
      <c r="M52" s="3">
        <f t="shared" ref="M52:M62" si="16">M51*POWER($H$37, A52)</f>
        <v>4360.2593545735135</v>
      </c>
      <c r="N52" s="3">
        <f t="shared" ref="N52:N100" si="17">M52-$G$36</f>
        <v>360.25935457351352</v>
      </c>
    </row>
    <row r="53" spans="1:14" x14ac:dyDescent="0.25">
      <c r="A53" s="13">
        <v>15</v>
      </c>
      <c r="B53" s="1">
        <f t="shared" si="7"/>
        <v>180</v>
      </c>
      <c r="C53" s="19">
        <f t="shared" si="8"/>
        <v>282.13771044023923</v>
      </c>
      <c r="D53" s="19">
        <f t="shared" si="9"/>
        <v>90</v>
      </c>
      <c r="E53" s="19">
        <f t="shared" si="10"/>
        <v>256.40520577869177</v>
      </c>
      <c r="F53" s="19">
        <f t="shared" si="5"/>
        <v>90</v>
      </c>
      <c r="G53" s="60">
        <f t="shared" si="6"/>
        <v>257.16271022255478</v>
      </c>
      <c r="H53" s="58">
        <f t="shared" si="11"/>
        <v>3958.9893256136061</v>
      </c>
      <c r="I53" s="1">
        <f t="shared" si="12"/>
        <v>3910</v>
      </c>
      <c r="J53" s="3">
        <f t="shared" si="13"/>
        <v>3913.2126273972599</v>
      </c>
      <c r="K53" s="3">
        <f t="shared" si="14"/>
        <v>48.98932561360607</v>
      </c>
      <c r="L53" s="3">
        <f t="shared" si="15"/>
        <v>3.2126273972598938</v>
      </c>
      <c r="M53" s="3">
        <f t="shared" si="16"/>
        <v>4414.3082395773872</v>
      </c>
      <c r="N53" s="3">
        <f t="shared" si="17"/>
        <v>414.30823957738721</v>
      </c>
    </row>
    <row r="54" spans="1:14" x14ac:dyDescent="0.25">
      <c r="A54" s="13">
        <v>16</v>
      </c>
      <c r="B54" s="1">
        <f t="shared" si="7"/>
        <v>192</v>
      </c>
      <c r="C54" s="19">
        <f t="shared" si="8"/>
        <v>310.10047881030937</v>
      </c>
      <c r="D54" s="19">
        <f t="shared" si="9"/>
        <v>96</v>
      </c>
      <c r="E54" s="19">
        <f t="shared" si="10"/>
        <v>293.27014275881942</v>
      </c>
      <c r="F54" s="19">
        <f t="shared" si="5"/>
        <v>96</v>
      </c>
      <c r="G54" s="60">
        <f t="shared" si="6"/>
        <v>294.19441018521979</v>
      </c>
      <c r="H54" s="58">
        <f t="shared" si="11"/>
        <v>3956.2372749252536</v>
      </c>
      <c r="I54" s="1">
        <f t="shared" si="12"/>
        <v>3904</v>
      </c>
      <c r="J54" s="3">
        <f t="shared" si="13"/>
        <v>3907.2076975342461</v>
      </c>
      <c r="K54" s="3">
        <f t="shared" si="14"/>
        <v>52.237274925253587</v>
      </c>
      <c r="L54" s="3">
        <f t="shared" si="15"/>
        <v>3.2076975342461083</v>
      </c>
      <c r="M54" s="3">
        <f t="shared" si="16"/>
        <v>4472.6990520988793</v>
      </c>
      <c r="N54" s="3">
        <f t="shared" si="17"/>
        <v>472.69905209887929</v>
      </c>
    </row>
    <row r="55" spans="1:14" x14ac:dyDescent="0.25">
      <c r="A55" s="13">
        <v>17</v>
      </c>
      <c r="B55" s="1">
        <f t="shared" si="7"/>
        <v>204</v>
      </c>
      <c r="C55" s="19">
        <f t="shared" si="8"/>
        <v>339.50326171345284</v>
      </c>
      <c r="D55" s="19">
        <f t="shared" si="9"/>
        <v>102</v>
      </c>
      <c r="E55" s="19">
        <f t="shared" si="10"/>
        <v>334.12508165979767</v>
      </c>
      <c r="F55" s="19">
        <f t="shared" si="5"/>
        <v>102</v>
      </c>
      <c r="G55" s="60">
        <f t="shared" si="6"/>
        <v>335.2440313025441</v>
      </c>
      <c r="H55" s="58">
        <f t="shared" si="11"/>
        <v>3953.482963031418</v>
      </c>
      <c r="I55" s="1">
        <f t="shared" si="12"/>
        <v>3898</v>
      </c>
      <c r="J55" s="3">
        <f t="shared" si="13"/>
        <v>3901.2027676712323</v>
      </c>
      <c r="K55" s="3">
        <f t="shared" si="14"/>
        <v>55.482963031417967</v>
      </c>
      <c r="L55" s="3">
        <f t="shared" si="15"/>
        <v>3.2027676712323228</v>
      </c>
      <c r="M55" s="3">
        <f t="shared" si="16"/>
        <v>4535.5858130423067</v>
      </c>
      <c r="N55" s="3">
        <f t="shared" si="17"/>
        <v>535.58581304230665</v>
      </c>
    </row>
    <row r="56" spans="1:14" x14ac:dyDescent="0.25">
      <c r="A56" s="13">
        <v>18</v>
      </c>
      <c r="B56" s="1">
        <f t="shared" si="7"/>
        <v>216</v>
      </c>
      <c r="C56" s="19">
        <f t="shared" si="8"/>
        <v>370.4077887815904</v>
      </c>
      <c r="D56" s="19">
        <f t="shared" si="9"/>
        <v>108</v>
      </c>
      <c r="E56" s="19">
        <f t="shared" si="10"/>
        <v>379.3542467602033</v>
      </c>
      <c r="F56" s="19">
        <f t="shared" si="5"/>
        <v>108</v>
      </c>
      <c r="G56" s="60">
        <f t="shared" si="6"/>
        <v>380.69952689036438</v>
      </c>
      <c r="H56" s="58">
        <f t="shared" si="11"/>
        <v>3950.7263880741934</v>
      </c>
      <c r="I56" s="1">
        <f t="shared" si="12"/>
        <v>3892</v>
      </c>
      <c r="J56" s="3">
        <f t="shared" si="13"/>
        <v>3895.197837808219</v>
      </c>
      <c r="K56" s="3">
        <f t="shared" si="14"/>
        <v>58.726388074193437</v>
      </c>
      <c r="L56" s="3">
        <f t="shared" si="15"/>
        <v>3.197837808218992</v>
      </c>
      <c r="M56" s="3">
        <f t="shared" si="16"/>
        <v>4603.1358035914545</v>
      </c>
      <c r="N56" s="3">
        <f t="shared" si="17"/>
        <v>603.13580359145453</v>
      </c>
    </row>
    <row r="57" spans="1:14" x14ac:dyDescent="0.25">
      <c r="A57" s="13">
        <v>19</v>
      </c>
      <c r="B57" s="1">
        <f t="shared" si="7"/>
        <v>228</v>
      </c>
      <c r="C57" s="19">
        <f t="shared" si="8"/>
        <v>402.8782125770208</v>
      </c>
      <c r="D57" s="19">
        <f t="shared" si="9"/>
        <v>114</v>
      </c>
      <c r="E57" s="19">
        <f t="shared" si="10"/>
        <v>429.37656237230237</v>
      </c>
      <c r="F57" s="19">
        <f t="shared" si="5"/>
        <v>114</v>
      </c>
      <c r="G57" s="60">
        <f t="shared" si="6"/>
        <v>430.98398448729625</v>
      </c>
      <c r="H57" s="58">
        <f t="shared" si="11"/>
        <v>3947.9675481941476</v>
      </c>
      <c r="I57" s="1">
        <f t="shared" si="12"/>
        <v>3886</v>
      </c>
      <c r="J57" s="3">
        <f t="shared" si="13"/>
        <v>3889.1929079452052</v>
      </c>
      <c r="K57" s="3">
        <f t="shared" si="14"/>
        <v>61.967548194147639</v>
      </c>
      <c r="L57" s="3">
        <f t="shared" si="15"/>
        <v>3.1929079452052065</v>
      </c>
      <c r="M57" s="3">
        <f t="shared" si="16"/>
        <v>4675.5303054553369</v>
      </c>
      <c r="N57" s="3">
        <f t="shared" si="17"/>
        <v>675.53030545533693</v>
      </c>
    </row>
    <row r="58" spans="1:14" x14ac:dyDescent="0.25">
      <c r="A58" s="13">
        <v>20</v>
      </c>
      <c r="B58" s="1">
        <f t="shared" si="7"/>
        <v>240</v>
      </c>
      <c r="C58" s="19">
        <f t="shared" si="8"/>
        <v>436.98119887595163</v>
      </c>
      <c r="D58" s="19">
        <f t="shared" si="9"/>
        <v>120</v>
      </c>
      <c r="E58" s="19">
        <f t="shared" si="10"/>
        <v>484.6486618778618</v>
      </c>
      <c r="F58" s="19">
        <f t="shared" si="5"/>
        <v>120</v>
      </c>
      <c r="G58" s="60">
        <f t="shared" si="6"/>
        <v>486.55868115119802</v>
      </c>
      <c r="H58" s="58">
        <f t="shared" si="11"/>
        <v>3945.2064415303212</v>
      </c>
      <c r="I58" s="1">
        <f t="shared" si="12"/>
        <v>3880</v>
      </c>
      <c r="J58" s="3">
        <f t="shared" si="13"/>
        <v>3883.1879780821914</v>
      </c>
      <c r="K58" s="3">
        <f t="shared" si="14"/>
        <v>65.206441530321172</v>
      </c>
      <c r="L58" s="3">
        <f t="shared" si="15"/>
        <v>3.187978082191421</v>
      </c>
      <c r="M58" s="3">
        <f t="shared" si="16"/>
        <v>4752.9654097864586</v>
      </c>
      <c r="N58" s="3">
        <f t="shared" si="17"/>
        <v>752.96540978645862</v>
      </c>
    </row>
    <row r="59" spans="1:14" x14ac:dyDescent="0.25">
      <c r="A59" s="13">
        <v>21</v>
      </c>
      <c r="B59" s="1">
        <f t="shared" si="7"/>
        <v>252</v>
      </c>
      <c r="C59" s="19">
        <f t="shared" si="8"/>
        <v>472.78602020262377</v>
      </c>
      <c r="D59" s="19">
        <f t="shared" si="9"/>
        <v>126</v>
      </c>
      <c r="E59" s="19">
        <f t="shared" si="10"/>
        <v>545.66815047347291</v>
      </c>
      <c r="F59" s="19">
        <f t="shared" si="5"/>
        <v>126</v>
      </c>
      <c r="G59" s="60">
        <f t="shared" si="6"/>
        <v>547.9263971003661</v>
      </c>
      <c r="H59" s="58">
        <f t="shared" si="11"/>
        <v>3942.4430662202249</v>
      </c>
      <c r="I59" s="1">
        <f t="shared" si="12"/>
        <v>3874</v>
      </c>
      <c r="J59" s="3">
        <f t="shared" si="13"/>
        <v>3877.1830482191776</v>
      </c>
      <c r="K59" s="3">
        <f t="shared" si="14"/>
        <v>68.443066220224864</v>
      </c>
      <c r="L59" s="3">
        <f t="shared" si="15"/>
        <v>3.1830482191776355</v>
      </c>
      <c r="M59" s="3">
        <f t="shared" si="16"/>
        <v>4835.6528998142012</v>
      </c>
      <c r="N59" s="3">
        <f t="shared" si="17"/>
        <v>835.65289981420119</v>
      </c>
    </row>
    <row r="60" spans="1:14" x14ac:dyDescent="0.25">
      <c r="A60" s="13">
        <v>22</v>
      </c>
      <c r="B60" s="1">
        <f t="shared" si="7"/>
        <v>264</v>
      </c>
      <c r="C60" s="19">
        <f t="shared" si="8"/>
        <v>510.36465272824444</v>
      </c>
      <c r="D60" s="19">
        <f t="shared" si="9"/>
        <v>132</v>
      </c>
      <c r="E60" s="19">
        <f t="shared" si="10"/>
        <v>612.97714258196208</v>
      </c>
      <c r="F60" s="19">
        <f t="shared" si="5"/>
        <v>132</v>
      </c>
      <c r="G60" s="60">
        <f t="shared" si="6"/>
        <v>615.63500910011066</v>
      </c>
      <c r="H60" s="58">
        <f t="shared" si="11"/>
        <v>3939.6774203998393</v>
      </c>
      <c r="I60" s="1">
        <f t="shared" si="12"/>
        <v>3868</v>
      </c>
      <c r="J60" s="3">
        <f t="shared" si="13"/>
        <v>3871.1781183561638</v>
      </c>
      <c r="K60" s="3">
        <f t="shared" si="14"/>
        <v>71.67742039983932</v>
      </c>
      <c r="L60" s="3">
        <f t="shared" si="15"/>
        <v>3.17811835616385</v>
      </c>
      <c r="M60" s="3">
        <f t="shared" si="16"/>
        <v>4923.8212127406296</v>
      </c>
      <c r="N60" s="3">
        <f t="shared" si="17"/>
        <v>923.82121274062956</v>
      </c>
    </row>
    <row r="61" spans="1:14" x14ac:dyDescent="0.25">
      <c r="A61" s="13">
        <v>23</v>
      </c>
      <c r="B61" s="1">
        <f t="shared" si="7"/>
        <v>276</v>
      </c>
      <c r="C61" s="19">
        <f t="shared" si="8"/>
        <v>549.79187665288555</v>
      </c>
      <c r="D61" s="19">
        <f t="shared" si="9"/>
        <v>138</v>
      </c>
      <c r="E61" s="19">
        <f t="shared" si="10"/>
        <v>687.16609659052017</v>
      </c>
      <c r="F61" s="19">
        <f t="shared" si="5"/>
        <v>138</v>
      </c>
      <c r="G61" s="60">
        <f t="shared" si="6"/>
        <v>690.28138674054992</v>
      </c>
      <c r="H61" s="58">
        <f t="shared" si="11"/>
        <v>3936.909502203614</v>
      </c>
      <c r="I61" s="1">
        <f t="shared" si="12"/>
        <v>3862</v>
      </c>
      <c r="J61" s="3">
        <f t="shared" si="13"/>
        <v>3865.1731884931505</v>
      </c>
      <c r="K61" s="3">
        <f t="shared" si="14"/>
        <v>74.909502203614011</v>
      </c>
      <c r="L61" s="3">
        <f t="shared" si="15"/>
        <v>3.1731884931505192</v>
      </c>
      <c r="M61" s="3">
        <f t="shared" si="16"/>
        <v>5017.7164869954795</v>
      </c>
      <c r="N61" s="3">
        <f t="shared" si="17"/>
        <v>1017.7164869954795</v>
      </c>
    </row>
    <row r="62" spans="1:14" x14ac:dyDescent="0.25">
      <c r="A62" s="13">
        <v>24</v>
      </c>
      <c r="B62" s="1">
        <f t="shared" si="7"/>
        <v>288</v>
      </c>
      <c r="C62" s="19">
        <f t="shared" si="8"/>
        <v>591.14538019257998</v>
      </c>
      <c r="D62" s="19">
        <f t="shared" si="9"/>
        <v>144</v>
      </c>
      <c r="E62" s="19">
        <f t="shared" si="10"/>
        <v>768.87797141709166</v>
      </c>
      <c r="F62" s="19">
        <f t="shared" si="5"/>
        <v>144</v>
      </c>
      <c r="G62" s="60">
        <f t="shared" si="6"/>
        <v>772.51561663719053</v>
      </c>
      <c r="H62" s="58">
        <f t="shared" si="11"/>
        <v>3934.1393097644655</v>
      </c>
      <c r="I62" s="1">
        <f t="shared" si="12"/>
        <v>3856</v>
      </c>
      <c r="J62" s="3">
        <f t="shared" si="13"/>
        <v>3859.1682586301367</v>
      </c>
      <c r="K62" s="3">
        <f t="shared" si="14"/>
        <v>78.139309764465452</v>
      </c>
      <c r="L62" s="3">
        <f t="shared" si="15"/>
        <v>3.1682586301367337</v>
      </c>
      <c r="M62" s="3">
        <f t="shared" si="16"/>
        <v>5117.6037015460715</v>
      </c>
      <c r="N62" s="3">
        <f t="shared" si="17"/>
        <v>1117.6037015460715</v>
      </c>
    </row>
    <row r="63" spans="1:14" x14ac:dyDescent="0.25">
      <c r="A63" s="13">
        <v>25</v>
      </c>
      <c r="B63" s="1">
        <f t="shared" si="7"/>
        <v>300</v>
      </c>
      <c r="C63" s="19">
        <f t="shared" ref="C63:C69" si="18">B63*(1+($B$37 / 12))^(12*A63)</f>
        <v>634.50586729805832</v>
      </c>
      <c r="D63" s="19">
        <f t="shared" ref="D63:D69" si="19">($C$36*(1 - $I$36))*A63</f>
        <v>150</v>
      </c>
      <c r="E63" s="19">
        <f t="shared" ref="E63:E69" si="20">D63*(1+(0.07 / 12))^(12*A63)</f>
        <v>858.81273139522057</v>
      </c>
      <c r="F63" s="19">
        <f t="shared" ref="F63:F69" si="21">IF(H63 = 0, F62 + $C$36 -I63, F62 + ((1-$I$36)*$C$36))</f>
        <v>150</v>
      </c>
      <c r="G63" s="60">
        <f t="shared" si="6"/>
        <v>863.04558162337707</v>
      </c>
      <c r="H63" s="58">
        <f t="shared" ref="H63:H69" si="22">MAX(0, (H62 - ($C$36 *$I$36)) *$H$37)</f>
        <v>3931.3668412137758</v>
      </c>
      <c r="I63" s="1">
        <f t="shared" ref="I63:I69" si="23">MAX(0,I62-($C$36*$I$36))</f>
        <v>3850</v>
      </c>
      <c r="J63" s="3">
        <f t="shared" si="13"/>
        <v>3853.1633287671229</v>
      </c>
      <c r="K63" s="3">
        <f t="shared" ref="K63:K69" si="24">IF(K62 = K61, 0, H63 - I63)</f>
        <v>81.366841213775842</v>
      </c>
      <c r="L63" s="3">
        <f t="shared" ref="L63:L69" si="25">J63-I63</f>
        <v>3.1633287671229482</v>
      </c>
      <c r="M63" s="3">
        <f t="shared" ref="M63:M69" si="26">M62*POWER($H$37, A63)</f>
        <v>5223.767914611688</v>
      </c>
      <c r="N63" s="3">
        <f t="shared" si="17"/>
        <v>1223.767914611688</v>
      </c>
    </row>
    <row r="64" spans="1:14" x14ac:dyDescent="0.25">
      <c r="A64" s="13">
        <v>26</v>
      </c>
      <c r="B64" s="1">
        <f t="shared" si="7"/>
        <v>312</v>
      </c>
      <c r="C64" s="19">
        <f t="shared" si="18"/>
        <v>679.95716923592977</v>
      </c>
      <c r="D64" s="19">
        <f t="shared" si="19"/>
        <v>156</v>
      </c>
      <c r="E64" s="19">
        <f t="shared" si="20"/>
        <v>957.73222811567177</v>
      </c>
      <c r="F64" s="19">
        <f t="shared" si="21"/>
        <v>156</v>
      </c>
      <c r="G64" s="60">
        <f t="shared" si="6"/>
        <v>962.64192420507845</v>
      </c>
      <c r="H64" s="58">
        <f t="shared" si="22"/>
        <v>3928.5920946813917</v>
      </c>
      <c r="I64" s="1">
        <f t="shared" si="23"/>
        <v>3844</v>
      </c>
      <c r="J64" s="3">
        <f t="shared" si="13"/>
        <v>3847.1583989041092</v>
      </c>
      <c r="K64" s="3">
        <f t="shared" si="24"/>
        <v>84.5920946813917</v>
      </c>
      <c r="L64" s="3">
        <f t="shared" si="25"/>
        <v>3.1583989041091627</v>
      </c>
      <c r="M64" s="3">
        <f t="shared" si="26"/>
        <v>5336.5156098465295</v>
      </c>
      <c r="N64" s="3">
        <f t="shared" si="17"/>
        <v>1336.5156098465295</v>
      </c>
    </row>
    <row r="65" spans="1:14" x14ac:dyDescent="0.25">
      <c r="A65" s="13">
        <v>27</v>
      </c>
      <c r="B65" s="1">
        <f t="shared" si="7"/>
        <v>324</v>
      </c>
      <c r="C65" s="19">
        <f t="shared" si="18"/>
        <v>727.58636016761079</v>
      </c>
      <c r="D65" s="19">
        <f t="shared" si="19"/>
        <v>162</v>
      </c>
      <c r="E65" s="19">
        <f t="shared" si="20"/>
        <v>1066.4654901834219</v>
      </c>
      <c r="F65" s="19">
        <f t="shared" si="21"/>
        <v>162</v>
      </c>
      <c r="G65" s="60">
        <f t="shared" si="6"/>
        <v>1072.1434259267653</v>
      </c>
      <c r="H65" s="58">
        <f t="shared" si="22"/>
        <v>3925.8150682956239</v>
      </c>
      <c r="I65" s="1">
        <f t="shared" si="23"/>
        <v>3838</v>
      </c>
      <c r="J65" s="3">
        <f t="shared" si="13"/>
        <v>3841.1534690410954</v>
      </c>
      <c r="K65" s="3">
        <f t="shared" si="24"/>
        <v>87.81506829562386</v>
      </c>
      <c r="L65" s="3">
        <f t="shared" si="25"/>
        <v>3.1534690410953772</v>
      </c>
      <c r="M65" s="3">
        <f t="shared" si="26"/>
        <v>5456.1761588370846</v>
      </c>
      <c r="N65" s="3">
        <f t="shared" si="17"/>
        <v>1456.1761588370846</v>
      </c>
    </row>
    <row r="66" spans="1:14" x14ac:dyDescent="0.25">
      <c r="A66" s="13">
        <v>28</v>
      </c>
      <c r="B66" s="1">
        <f t="shared" si="7"/>
        <v>336</v>
      </c>
      <c r="C66" s="19">
        <f t="shared" si="18"/>
        <v>777.48387686596561</v>
      </c>
      <c r="D66" s="19">
        <f t="shared" si="19"/>
        <v>168</v>
      </c>
      <c r="E66" s="19">
        <f t="shared" si="20"/>
        <v>1185.9144543546913</v>
      </c>
      <c r="F66" s="19">
        <f t="shared" si="21"/>
        <v>168</v>
      </c>
      <c r="G66" s="60">
        <f t="shared" si="6"/>
        <v>1192.4628368664398</v>
      </c>
      <c r="H66" s="58">
        <f t="shared" si="22"/>
        <v>3923.0357601832452</v>
      </c>
      <c r="I66" s="1">
        <f t="shared" si="23"/>
        <v>3832</v>
      </c>
      <c r="J66" s="3">
        <f t="shared" si="13"/>
        <v>3835.1485391780816</v>
      </c>
      <c r="K66" s="3">
        <f t="shared" si="24"/>
        <v>91.035760183245202</v>
      </c>
      <c r="L66" s="3">
        <f t="shared" si="25"/>
        <v>3.1485391780815917</v>
      </c>
      <c r="M66" s="3">
        <f t="shared" si="26"/>
        <v>5583.103409615791</v>
      </c>
      <c r="N66" s="3">
        <f t="shared" si="17"/>
        <v>1583.103409615791</v>
      </c>
    </row>
    <row r="67" spans="1:14" x14ac:dyDescent="0.25">
      <c r="A67" s="13">
        <v>29</v>
      </c>
      <c r="B67" s="1">
        <f t="shared" si="7"/>
        <v>348</v>
      </c>
      <c r="C67" s="19">
        <f t="shared" si="18"/>
        <v>829.74364271444074</v>
      </c>
      <c r="D67" s="19">
        <f t="shared" si="19"/>
        <v>174</v>
      </c>
      <c r="E67" s="19">
        <f t="shared" si="20"/>
        <v>1317.0601742253057</v>
      </c>
      <c r="F67" s="19">
        <f t="shared" si="21"/>
        <v>174</v>
      </c>
      <c r="G67" s="60">
        <f t="shared" si="6"/>
        <v>1324.5931922533787</v>
      </c>
      <c r="H67" s="58">
        <f t="shared" si="22"/>
        <v>3920.2541684694884</v>
      </c>
      <c r="I67" s="1">
        <f t="shared" si="23"/>
        <v>3826</v>
      </c>
      <c r="J67" s="3">
        <f t="shared" si="13"/>
        <v>3829.1436093150683</v>
      </c>
      <c r="K67" s="3">
        <f t="shared" si="24"/>
        <v>94.254168469488377</v>
      </c>
      <c r="L67" s="3">
        <f t="shared" si="25"/>
        <v>3.1436093150682609</v>
      </c>
      <c r="M67" s="3">
        <f t="shared" si="26"/>
        <v>5717.6774118312323</v>
      </c>
      <c r="N67" s="3">
        <f t="shared" si="17"/>
        <v>1717.6774118312323</v>
      </c>
    </row>
    <row r="68" spans="1:14" x14ac:dyDescent="0.25">
      <c r="A68" s="13">
        <v>30</v>
      </c>
      <c r="B68" s="1">
        <f t="shared" si="7"/>
        <v>360</v>
      </c>
      <c r="C68" s="19">
        <f t="shared" si="18"/>
        <v>884.46319613844764</v>
      </c>
      <c r="D68" s="19">
        <f t="shared" si="19"/>
        <v>180</v>
      </c>
      <c r="E68" s="19">
        <f t="shared" si="20"/>
        <v>1460.9695455647391</v>
      </c>
      <c r="F68" s="19">
        <f>IF(H68 = 0, F67 + $C$36 -I68, F67 + ((1-$I$36)*$C$36))</f>
        <v>180</v>
      </c>
      <c r="G68" s="60">
        <f t="shared" si="6"/>
        <v>1469.6146562002145</v>
      </c>
      <c r="H68" s="58">
        <f t="shared" si="22"/>
        <v>3917.4702912780467</v>
      </c>
      <c r="I68" s="1">
        <f t="shared" si="23"/>
        <v>3820</v>
      </c>
      <c r="J68" s="3">
        <f t="shared" si="13"/>
        <v>3823.1386794520545</v>
      </c>
      <c r="K68" s="3">
        <f t="shared" si="24"/>
        <v>97.470291278046716</v>
      </c>
      <c r="L68" s="3">
        <f t="shared" si="25"/>
        <v>3.1386794520544754</v>
      </c>
      <c r="M68" s="3">
        <f t="shared" si="26"/>
        <v>5860.3062902443589</v>
      </c>
      <c r="N68" s="3">
        <f t="shared" si="17"/>
        <v>1860.3062902443589</v>
      </c>
    </row>
    <row r="69" spans="1:14" x14ac:dyDescent="0.25">
      <c r="A69" s="13">
        <v>31</v>
      </c>
      <c r="B69" s="1">
        <f t="shared" si="7"/>
        <v>372</v>
      </c>
      <c r="C69" s="19">
        <f t="shared" ref="C69:C74" si="27">B69*(1+($B$37 / 12))^(12*A69)</f>
        <v>941.74382362390315</v>
      </c>
      <c r="D69" s="19">
        <f t="shared" ref="D69:D74" si="28">($C$36*(1 - $I$36))*A69</f>
        <v>186</v>
      </c>
      <c r="E69" s="19">
        <f t="shared" ref="E69:E74" si="29">D69*(1+(0.07 / 12))^(12*A69)</f>
        <v>1618.8025905468494</v>
      </c>
      <c r="F69" s="19">
        <f t="shared" ref="F69:F74" si="30">IF(H69 = 0, F68 + $C$36 -I69, F68 + ((1-$I$36)*$C$36))</f>
        <v>186</v>
      </c>
      <c r="G69" s="60">
        <f t="shared" ref="G69:G74" si="31">F69*(1+(0.07 / $I$37))^($I$37*A69)</f>
        <v>1628.7019357793536</v>
      </c>
      <c r="H69" s="58">
        <f t="shared" ref="H69:H74" si="32">MAX(0, (H68 - ($C$36 *$I$36)) *$H$37)</f>
        <v>3914.684126731072</v>
      </c>
      <c r="I69" s="1">
        <f t="shared" ref="I69:I74" si="33">MAX(0,I68-($C$36*$I$36))</f>
        <v>3814</v>
      </c>
      <c r="J69" s="3">
        <f t="shared" si="13"/>
        <v>3817.1337495890407</v>
      </c>
      <c r="K69" s="3">
        <f t="shared" ref="K69:K74" si="34">IF(K68 = K67, 0, H69 - I69)</f>
        <v>100.68412673107196</v>
      </c>
      <c r="L69" s="3">
        <f t="shared" ref="L69:L74" si="35">J69-I69</f>
        <v>3.1337495890406899</v>
      </c>
      <c r="M69" s="3">
        <f t="shared" ref="M69:M74" si="36">M68*POWER($H$37, A69)</f>
        <v>6011.4282793503326</v>
      </c>
      <c r="N69" s="3">
        <f t="shared" si="17"/>
        <v>2011.4282793503326</v>
      </c>
    </row>
    <row r="70" spans="1:14" x14ac:dyDescent="0.25">
      <c r="A70" s="13">
        <v>32</v>
      </c>
      <c r="B70" s="1">
        <f t="shared" si="7"/>
        <v>384</v>
      </c>
      <c r="C70" s="19">
        <f t="shared" si="27"/>
        <v>1001.6906974831575</v>
      </c>
      <c r="D70" s="19">
        <f t="shared" si="28"/>
        <v>192</v>
      </c>
      <c r="E70" s="19">
        <f t="shared" si="29"/>
        <v>1791.820346537048</v>
      </c>
      <c r="F70" s="19">
        <f t="shared" si="30"/>
        <v>192</v>
      </c>
      <c r="G70" s="60">
        <f t="shared" si="31"/>
        <v>1803.1323121714445</v>
      </c>
      <c r="H70" s="58">
        <f t="shared" si="32"/>
        <v>3911.895672949172</v>
      </c>
      <c r="I70" s="1">
        <f t="shared" si="33"/>
        <v>3808</v>
      </c>
      <c r="J70" s="3">
        <f t="shared" si="13"/>
        <v>3811.1288197260269</v>
      </c>
      <c r="K70" s="3">
        <f t="shared" si="34"/>
        <v>103.89567294917197</v>
      </c>
      <c r="L70" s="3">
        <f t="shared" si="35"/>
        <v>3.1288197260269044</v>
      </c>
      <c r="M70" s="3">
        <f t="shared" si="36"/>
        <v>6171.5139331670725</v>
      </c>
      <c r="N70" s="3">
        <f t="shared" si="17"/>
        <v>2171.5139331670725</v>
      </c>
    </row>
    <row r="71" spans="1:14" x14ac:dyDescent="0.25">
      <c r="A71" s="13">
        <v>33</v>
      </c>
      <c r="B71" s="1">
        <f t="shared" si="7"/>
        <v>396</v>
      </c>
      <c r="C71" s="19">
        <f t="shared" si="27"/>
        <v>1064.4130185340427</v>
      </c>
      <c r="D71" s="19">
        <f t="shared" si="28"/>
        <v>198</v>
      </c>
      <c r="E71" s="19">
        <f t="shared" si="29"/>
        <v>1981.3934087764367</v>
      </c>
      <c r="F71" s="19">
        <f t="shared" si="30"/>
        <v>198</v>
      </c>
      <c r="G71" s="60">
        <f t="shared" si="31"/>
        <v>1994.2943393912501</v>
      </c>
      <c r="H71" s="58">
        <f t="shared" si="32"/>
        <v>3909.1049280514112</v>
      </c>
      <c r="I71" s="1">
        <f t="shared" si="33"/>
        <v>3802</v>
      </c>
      <c r="J71" s="3">
        <f t="shared" si="13"/>
        <v>3805.1238898630131</v>
      </c>
      <c r="K71" s="3">
        <f t="shared" si="34"/>
        <v>107.10492805141121</v>
      </c>
      <c r="L71" s="3">
        <f t="shared" si="35"/>
        <v>3.1238898630131189</v>
      </c>
      <c r="M71" s="3">
        <f t="shared" si="36"/>
        <v>6341.0685255965082</v>
      </c>
      <c r="N71" s="3">
        <f t="shared" si="17"/>
        <v>2341.0685255965082</v>
      </c>
    </row>
    <row r="72" spans="1:14" x14ac:dyDescent="0.25">
      <c r="A72" s="13">
        <v>34</v>
      </c>
      <c r="B72" s="1">
        <f t="shared" si="7"/>
        <v>408</v>
      </c>
      <c r="C72" s="19">
        <f t="shared" si="27"/>
        <v>1130.0241638634634</v>
      </c>
      <c r="D72" s="19">
        <f t="shared" si="28"/>
        <v>204</v>
      </c>
      <c r="E72" s="19">
        <f t="shared" si="29"/>
        <v>2189.0111802777742</v>
      </c>
      <c r="F72" s="19">
        <f t="shared" si="30"/>
        <v>204</v>
      </c>
      <c r="G72" s="60">
        <f t="shared" si="31"/>
        <v>2203.6972651761002</v>
      </c>
      <c r="H72" s="58">
        <f t="shared" si="32"/>
        <v>3906.3118901553084</v>
      </c>
      <c r="I72" s="1">
        <f t="shared" si="33"/>
        <v>3796</v>
      </c>
      <c r="J72" s="3">
        <f t="shared" si="13"/>
        <v>3799.1189599999998</v>
      </c>
      <c r="K72" s="3">
        <f t="shared" si="34"/>
        <v>110.31189015530845</v>
      </c>
      <c r="L72" s="3">
        <f t="shared" si="35"/>
        <v>3.1189599999997881</v>
      </c>
      <c r="M72" s="3">
        <f t="shared" si="36"/>
        <v>6520.6346582661399</v>
      </c>
      <c r="N72" s="3">
        <f t="shared" si="17"/>
        <v>2520.6346582661399</v>
      </c>
    </row>
    <row r="73" spans="1:14" x14ac:dyDescent="0.25">
      <c r="A73" s="13">
        <v>35</v>
      </c>
      <c r="B73" s="1">
        <f t="shared" si="7"/>
        <v>420</v>
      </c>
      <c r="C73" s="19">
        <f t="shared" si="27"/>
        <v>1198.6418398528374</v>
      </c>
      <c r="D73" s="19">
        <f t="shared" si="28"/>
        <v>210</v>
      </c>
      <c r="E73" s="19">
        <f t="shared" si="29"/>
        <v>2416.2918865392371</v>
      </c>
      <c r="F73" s="19">
        <f t="shared" si="30"/>
        <v>210</v>
      </c>
      <c r="G73" s="60">
        <f t="shared" si="31"/>
        <v>2432.9812330279933</v>
      </c>
      <c r="H73" s="58">
        <f t="shared" si="32"/>
        <v>3903.5165573768359</v>
      </c>
      <c r="I73" s="1">
        <f t="shared" si="33"/>
        <v>3790</v>
      </c>
      <c r="J73" s="3">
        <f t="shared" si="13"/>
        <v>3793.114030136986</v>
      </c>
      <c r="K73" s="3">
        <f t="shared" si="34"/>
        <v>113.51655737683586</v>
      </c>
      <c r="L73" s="3">
        <f t="shared" si="35"/>
        <v>3.1140301369860026</v>
      </c>
      <c r="M73" s="3">
        <f t="shared" si="36"/>
        <v>6710.7950944115182</v>
      </c>
      <c r="N73" s="3">
        <f t="shared" si="17"/>
        <v>2710.7950944115182</v>
      </c>
    </row>
    <row r="74" spans="1:14" x14ac:dyDescent="0.25">
      <c r="A74" s="13">
        <v>36</v>
      </c>
      <c r="B74" s="1">
        <f t="shared" si="7"/>
        <v>432</v>
      </c>
      <c r="C74" s="19">
        <f t="shared" si="27"/>
        <v>1270.3882406487712</v>
      </c>
      <c r="D74" s="19">
        <f t="shared" si="28"/>
        <v>216</v>
      </c>
      <c r="E74" s="19">
        <f t="shared" si="29"/>
        <v>2664.9934173148372</v>
      </c>
      <c r="F74" s="19">
        <f t="shared" si="30"/>
        <v>216</v>
      </c>
      <c r="G74" s="60">
        <f t="shared" si="31"/>
        <v>2683.9283291582833</v>
      </c>
      <c r="H74" s="58">
        <f t="shared" si="32"/>
        <v>3900.7189278304172</v>
      </c>
      <c r="I74" s="1">
        <f t="shared" si="33"/>
        <v>3784</v>
      </c>
      <c r="J74" s="3">
        <f t="shared" si="13"/>
        <v>3787.1091002739722</v>
      </c>
      <c r="K74" s="3">
        <f t="shared" si="34"/>
        <v>116.71892783041721</v>
      </c>
      <c r="L74" s="3">
        <f t="shared" si="35"/>
        <v>3.1091002739722171</v>
      </c>
      <c r="M74" s="3">
        <f t="shared" si="36"/>
        <v>6912.1758391809617</v>
      </c>
      <c r="N74" s="3">
        <f t="shared" si="17"/>
        <v>2912.1758391809617</v>
      </c>
    </row>
    <row r="75" spans="1:14" x14ac:dyDescent="0.25">
      <c r="A75" s="13"/>
      <c r="B75" s="1"/>
      <c r="C75" s="19"/>
      <c r="D75" s="19"/>
      <c r="E75" s="19"/>
      <c r="F75" s="19"/>
      <c r="G75" s="60"/>
      <c r="H75" s="58"/>
      <c r="I75" s="1"/>
      <c r="J75" s="3"/>
      <c r="K75" s="3"/>
      <c r="L75" s="3"/>
      <c r="M75" s="3"/>
      <c r="N75" s="3"/>
    </row>
    <row r="76" spans="1:14" x14ac:dyDescent="0.25">
      <c r="A76" s="13"/>
      <c r="B76" s="1"/>
      <c r="C76" s="19"/>
      <c r="D76" s="19"/>
      <c r="E76" s="19"/>
      <c r="F76" s="19"/>
      <c r="G76" s="60"/>
      <c r="H76" s="58"/>
      <c r="I76" s="1"/>
      <c r="J76" s="3"/>
      <c r="K76" s="3"/>
      <c r="L76" s="3"/>
      <c r="M76" s="3"/>
      <c r="N76" s="3"/>
    </row>
    <row r="77" spans="1:14" x14ac:dyDescent="0.25">
      <c r="A77" s="13"/>
      <c r="B77" s="1"/>
      <c r="C77" s="19"/>
      <c r="D77" s="19"/>
      <c r="E77" s="19"/>
      <c r="F77" s="19"/>
      <c r="G77" s="60"/>
      <c r="H77" s="58"/>
      <c r="I77" s="1"/>
      <c r="J77" s="3"/>
      <c r="K77" s="3"/>
      <c r="L77" s="3"/>
      <c r="M77" s="3"/>
      <c r="N77" s="3"/>
    </row>
    <row r="78" spans="1:14" x14ac:dyDescent="0.25">
      <c r="A78" s="13"/>
      <c r="B78" s="1"/>
      <c r="C78" s="19"/>
      <c r="D78" s="19"/>
      <c r="E78" s="19"/>
      <c r="F78" s="19"/>
      <c r="G78" s="60"/>
      <c r="H78" s="58"/>
      <c r="I78" s="1"/>
      <c r="J78" s="3"/>
      <c r="K78" s="3"/>
      <c r="L78" s="3"/>
      <c r="M78" s="3"/>
      <c r="N78" s="3"/>
    </row>
    <row r="79" spans="1:14" x14ac:dyDescent="0.25">
      <c r="A79" s="13"/>
      <c r="B79" s="1"/>
      <c r="C79" s="19"/>
      <c r="D79" s="19"/>
      <c r="E79" s="19"/>
      <c r="F79" s="19"/>
      <c r="G79" s="60"/>
      <c r="H79" s="58"/>
      <c r="I79" s="1"/>
      <c r="J79" s="3"/>
      <c r="K79" s="3"/>
      <c r="L79" s="3"/>
      <c r="M79" s="3"/>
      <c r="N79" s="3"/>
    </row>
    <row r="80" spans="1:14" x14ac:dyDescent="0.25">
      <c r="A80" s="13"/>
      <c r="B80" s="1"/>
      <c r="C80" s="19"/>
      <c r="D80" s="19"/>
      <c r="E80" s="19"/>
      <c r="F80" s="19"/>
      <c r="G80" s="60"/>
      <c r="H80" s="58"/>
      <c r="I80" s="1"/>
      <c r="J80" s="3"/>
      <c r="K80" s="3"/>
      <c r="L80" s="3"/>
      <c r="M80" s="3"/>
      <c r="N80" s="3"/>
    </row>
    <row r="81" spans="1:14" x14ac:dyDescent="0.25">
      <c r="A81" s="13"/>
      <c r="B81" s="1"/>
      <c r="C81" s="19"/>
      <c r="D81" s="19"/>
      <c r="E81" s="19"/>
      <c r="F81" s="19"/>
      <c r="G81" s="60"/>
      <c r="H81" s="58"/>
      <c r="I81" s="1"/>
      <c r="J81" s="3"/>
      <c r="K81" s="3"/>
      <c r="L81" s="3"/>
      <c r="M81" s="3"/>
      <c r="N81" s="3"/>
    </row>
    <row r="82" spans="1:14" x14ac:dyDescent="0.25">
      <c r="A82" s="13"/>
      <c r="B82" s="1"/>
      <c r="C82" s="19"/>
      <c r="D82" s="19"/>
      <c r="E82" s="19"/>
      <c r="F82" s="19"/>
      <c r="G82" s="60"/>
      <c r="H82" s="58"/>
      <c r="I82" s="1"/>
      <c r="J82" s="3"/>
      <c r="K82" s="3"/>
      <c r="L82" s="3"/>
      <c r="M82" s="3"/>
      <c r="N82" s="3"/>
    </row>
    <row r="83" spans="1:14" x14ac:dyDescent="0.25">
      <c r="A83" s="13"/>
      <c r="B83" s="1"/>
      <c r="C83" s="19"/>
      <c r="D83" s="19"/>
      <c r="E83" s="19"/>
      <c r="F83" s="19"/>
      <c r="G83" s="60"/>
      <c r="H83" s="58"/>
      <c r="I83" s="1"/>
      <c r="J83" s="3"/>
      <c r="K83" s="3"/>
      <c r="L83" s="3"/>
      <c r="M83" s="3"/>
      <c r="N83" s="3"/>
    </row>
    <row r="84" spans="1:14" x14ac:dyDescent="0.25">
      <c r="A84" s="13"/>
      <c r="B84" s="1"/>
      <c r="C84" s="19"/>
      <c r="D84" s="19"/>
      <c r="E84" s="19"/>
      <c r="F84" s="19"/>
      <c r="G84" s="60"/>
      <c r="H84" s="58"/>
      <c r="I84" s="1"/>
      <c r="J84" s="3"/>
      <c r="K84" s="3"/>
      <c r="L84" s="3"/>
      <c r="M84" s="3"/>
      <c r="N84" s="3"/>
    </row>
    <row r="85" spans="1:14" x14ac:dyDescent="0.25">
      <c r="A85" s="13"/>
      <c r="B85" s="1"/>
      <c r="C85" s="19"/>
      <c r="D85" s="19"/>
      <c r="E85" s="19"/>
      <c r="F85" s="19"/>
      <c r="G85" s="60"/>
      <c r="H85" s="58"/>
      <c r="I85" s="1"/>
      <c r="J85" s="3"/>
      <c r="K85" s="3"/>
      <c r="L85" s="3"/>
      <c r="M85" s="3"/>
      <c r="N85" s="3"/>
    </row>
    <row r="86" spans="1:14" x14ac:dyDescent="0.25">
      <c r="A86" s="13"/>
      <c r="B86" s="1"/>
      <c r="C86" s="19"/>
      <c r="D86" s="19"/>
      <c r="E86" s="19"/>
      <c r="F86" s="19"/>
      <c r="G86" s="60"/>
      <c r="H86" s="58"/>
      <c r="I86" s="1"/>
      <c r="J86" s="3"/>
      <c r="K86" s="3"/>
      <c r="L86" s="3"/>
      <c r="M86" s="3"/>
      <c r="N86" s="3"/>
    </row>
    <row r="87" spans="1:14" x14ac:dyDescent="0.25">
      <c r="A87" s="13"/>
      <c r="B87" s="1"/>
      <c r="C87" s="19"/>
      <c r="D87" s="19"/>
      <c r="E87" s="19"/>
      <c r="F87" s="19"/>
      <c r="G87" s="60"/>
      <c r="H87" s="58"/>
      <c r="I87" s="1"/>
      <c r="J87" s="3"/>
      <c r="K87" s="3"/>
      <c r="L87" s="3"/>
      <c r="M87" s="3"/>
      <c r="N87" s="3"/>
    </row>
    <row r="88" spans="1:14" x14ac:dyDescent="0.25">
      <c r="A88" s="13"/>
      <c r="B88" s="1"/>
      <c r="C88" s="19"/>
      <c r="D88" s="19"/>
      <c r="E88" s="19"/>
      <c r="F88" s="19"/>
      <c r="G88" s="60"/>
      <c r="H88" s="58"/>
      <c r="I88" s="1"/>
      <c r="J88" s="3"/>
      <c r="K88" s="3"/>
      <c r="L88" s="3"/>
      <c r="M88" s="3"/>
      <c r="N88" s="3"/>
    </row>
    <row r="89" spans="1:14" x14ac:dyDescent="0.25">
      <c r="A89" s="13"/>
      <c r="B89" s="1"/>
      <c r="C89" s="19"/>
      <c r="D89" s="19"/>
      <c r="E89" s="19"/>
      <c r="F89" s="19"/>
      <c r="G89" s="60"/>
      <c r="H89" s="58"/>
      <c r="I89" s="1"/>
      <c r="J89" s="3"/>
      <c r="K89" s="3"/>
      <c r="L89" s="3"/>
      <c r="M89" s="3"/>
      <c r="N89" s="3"/>
    </row>
    <row r="90" spans="1:14" x14ac:dyDescent="0.25">
      <c r="A90" s="13"/>
      <c r="B90" s="1"/>
      <c r="C90" s="19"/>
      <c r="D90" s="19"/>
      <c r="E90" s="19"/>
      <c r="F90" s="19"/>
      <c r="G90" s="60"/>
      <c r="H90" s="58"/>
      <c r="I90" s="1"/>
      <c r="J90" s="3"/>
      <c r="K90" s="3"/>
      <c r="L90" s="3"/>
      <c r="M90" s="3"/>
      <c r="N90" s="3"/>
    </row>
    <row r="91" spans="1:14" x14ac:dyDescent="0.25">
      <c r="A91" s="13"/>
      <c r="B91" s="1"/>
      <c r="C91" s="19"/>
      <c r="D91" s="19"/>
      <c r="E91" s="19"/>
      <c r="F91" s="19"/>
      <c r="G91" s="60"/>
      <c r="H91" s="58"/>
      <c r="I91" s="1"/>
      <c r="J91" s="3"/>
      <c r="K91" s="3"/>
      <c r="L91" s="3"/>
      <c r="M91" s="3"/>
      <c r="N91" s="3"/>
    </row>
    <row r="92" spans="1:14" x14ac:dyDescent="0.25">
      <c r="A92" s="13"/>
      <c r="B92" s="1"/>
      <c r="C92" s="19"/>
      <c r="D92" s="19"/>
      <c r="E92" s="19"/>
      <c r="F92" s="19"/>
      <c r="G92" s="60"/>
      <c r="H92" s="58"/>
      <c r="I92" s="1"/>
      <c r="J92" s="3"/>
      <c r="K92" s="3"/>
      <c r="L92" s="3"/>
      <c r="M92" s="3"/>
      <c r="N92" s="3"/>
    </row>
    <row r="93" spans="1:14" x14ac:dyDescent="0.25">
      <c r="A93" s="13"/>
      <c r="B93" s="1"/>
      <c r="C93" s="19"/>
      <c r="D93" s="19"/>
      <c r="E93" s="19"/>
      <c r="F93" s="19"/>
      <c r="G93" s="60"/>
      <c r="H93" s="58"/>
      <c r="I93" s="1"/>
      <c r="J93" s="3"/>
      <c r="K93" s="3"/>
      <c r="L93" s="3"/>
      <c r="M93" s="3"/>
      <c r="N93" s="3"/>
    </row>
    <row r="94" spans="1:14" x14ac:dyDescent="0.25">
      <c r="A94" s="13"/>
      <c r="B94" s="1"/>
      <c r="C94" s="19"/>
      <c r="D94" s="19"/>
      <c r="E94" s="19"/>
      <c r="F94" s="19"/>
      <c r="G94" s="60"/>
      <c r="H94" s="58"/>
      <c r="I94" s="1"/>
      <c r="J94" s="3"/>
      <c r="K94" s="3"/>
      <c r="L94" s="3"/>
      <c r="M94" s="3"/>
      <c r="N94" s="3"/>
    </row>
    <row r="95" spans="1:14" x14ac:dyDescent="0.25">
      <c r="A95" s="13"/>
      <c r="B95" s="1"/>
      <c r="C95" s="19"/>
      <c r="D95" s="19"/>
      <c r="E95" s="19"/>
      <c r="F95" s="19"/>
      <c r="G95" s="60"/>
      <c r="H95" s="58"/>
      <c r="I95" s="1"/>
      <c r="J95" s="3"/>
      <c r="K95" s="3"/>
      <c r="L95" s="3"/>
      <c r="M95" s="3"/>
      <c r="N95" s="3"/>
    </row>
    <row r="96" spans="1:14" x14ac:dyDescent="0.25">
      <c r="A96" s="13"/>
      <c r="B96" s="1"/>
      <c r="C96" s="19"/>
      <c r="D96" s="19"/>
      <c r="E96" s="19"/>
      <c r="F96" s="19"/>
      <c r="G96" s="60"/>
      <c r="H96" s="58"/>
      <c r="I96" s="1"/>
      <c r="J96" s="3"/>
      <c r="K96" s="3"/>
      <c r="L96" s="3"/>
      <c r="M96" s="3"/>
      <c r="N96" s="3"/>
    </row>
    <row r="97" spans="1:14" x14ac:dyDescent="0.25">
      <c r="A97" s="13"/>
      <c r="B97" s="1"/>
      <c r="C97" s="19"/>
      <c r="D97" s="19"/>
      <c r="E97" s="19"/>
      <c r="F97" s="19"/>
      <c r="G97" s="60"/>
      <c r="H97" s="58"/>
      <c r="I97" s="1"/>
      <c r="J97" s="3"/>
      <c r="K97" s="3"/>
      <c r="L97" s="3"/>
      <c r="M97" s="3"/>
      <c r="N97" s="3"/>
    </row>
    <row r="98" spans="1:14" x14ac:dyDescent="0.25">
      <c r="A98" s="13"/>
      <c r="B98" s="1"/>
      <c r="C98" s="19"/>
      <c r="D98" s="19"/>
      <c r="E98" s="19"/>
      <c r="F98" s="19"/>
      <c r="G98" s="60"/>
      <c r="H98" s="58"/>
      <c r="I98" s="1"/>
      <c r="J98" s="3"/>
      <c r="K98" s="3"/>
      <c r="L98" s="3"/>
      <c r="M98" s="3"/>
      <c r="N98" s="3"/>
    </row>
    <row r="99" spans="1:14" x14ac:dyDescent="0.25">
      <c r="A99" s="13"/>
      <c r="B99" s="1"/>
      <c r="C99" s="19"/>
      <c r="D99" s="19"/>
      <c r="E99" s="19"/>
      <c r="F99" s="19"/>
      <c r="G99" s="60"/>
      <c r="H99" s="58"/>
      <c r="I99" s="1"/>
      <c r="J99" s="3"/>
      <c r="K99" s="3"/>
      <c r="L99" s="3"/>
      <c r="M99" s="3"/>
      <c r="N99" s="3"/>
    </row>
    <row r="100" spans="1:14" x14ac:dyDescent="0.25">
      <c r="A100" s="13"/>
      <c r="B100" s="1"/>
      <c r="C100" s="19"/>
      <c r="D100" s="19"/>
      <c r="E100" s="19"/>
      <c r="F100" s="19"/>
      <c r="G100" s="60"/>
      <c r="H100" s="58"/>
      <c r="I100" s="1"/>
      <c r="J100" s="3"/>
      <c r="K100" s="3"/>
      <c r="L100" s="3"/>
      <c r="M100" s="3"/>
      <c r="N100" s="3"/>
    </row>
  </sheetData>
  <mergeCells count="18">
    <mergeCell ref="E5:E6"/>
    <mergeCell ref="D36:F37"/>
    <mergeCell ref="D35:F35"/>
    <mergeCell ref="E27:F27"/>
    <mergeCell ref="E28:F28"/>
    <mergeCell ref="E29:F29"/>
    <mergeCell ref="E30:F30"/>
    <mergeCell ref="A31:B31"/>
    <mergeCell ref="C31:D31"/>
    <mergeCell ref="A34:D34"/>
    <mergeCell ref="B30:C30"/>
    <mergeCell ref="A26:D26"/>
    <mergeCell ref="A1:A4"/>
    <mergeCell ref="B27:C27"/>
    <mergeCell ref="C28:D28"/>
    <mergeCell ref="A5:A6"/>
    <mergeCell ref="B5:B6"/>
    <mergeCell ref="C5:C6"/>
  </mergeCells>
  <conditionalFormatting sqref="H39:J100">
    <cfRule type="colorScale" priority="6">
      <colorScale>
        <cfvo type="min"/>
        <cfvo type="max"/>
        <color rgb="FFFCFCFF"/>
        <color rgb="FFF8696B"/>
      </colorScale>
    </cfRule>
  </conditionalFormatting>
  <conditionalFormatting sqref="B39:G100">
    <cfRule type="colorScale" priority="4">
      <colorScale>
        <cfvo type="min"/>
        <cfvo type="max"/>
        <color rgb="FFFCFCFF"/>
        <color rgb="FF63BE7B"/>
      </colorScale>
    </cfRule>
  </conditionalFormatting>
  <conditionalFormatting sqref="F23:H23">
    <cfRule type="colorScale" priority="2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conditionalFormatting sqref="D23">
    <cfRule type="colorScale" priority="1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Knowlton</dc:creator>
  <cp:lastModifiedBy>Brett Knowlton</cp:lastModifiedBy>
  <dcterms:created xsi:type="dcterms:W3CDTF">2025-01-14T22:37:26Z</dcterms:created>
  <dcterms:modified xsi:type="dcterms:W3CDTF">2025-01-17T16:43:22Z</dcterms:modified>
</cp:coreProperties>
</file>